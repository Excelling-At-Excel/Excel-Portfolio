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aming - Wop\Desktop\"/>
    </mc:Choice>
  </mc:AlternateContent>
  <xr:revisionPtr revIDLastSave="0" documentId="13_ncr:1_{A521BFB5-EDC8-484F-9F1D-B61E42705F3B}" xr6:coauthVersionLast="36" xr6:coauthVersionMax="36" xr10:uidLastSave="{00000000-0000-0000-0000-000000000000}"/>
  <bookViews>
    <workbookView xWindow="0" yWindow="0" windowWidth="14010" windowHeight="7980" tabRatio="500" xr2:uid="{00000000-000D-0000-FFFF-FFFF00000000}"/>
  </bookViews>
  <sheets>
    <sheet name="Source Report" sheetId="1" r:id="rId1"/>
    <sheet name="Output Dashboard" sheetId="2" r:id="rId2"/>
    <sheet name="Sheet1" sheetId="3" state="veryHidden" r:id="rId3"/>
  </sheets>
  <definedNames>
    <definedName name="_xlnm._FilterDatabase" localSheetId="0" hidden="1">'Source Report'!$A$11:$V$168</definedName>
  </definedNames>
  <calcPr calcId="191029"/>
</workbook>
</file>

<file path=xl/calcChain.xml><?xml version="1.0" encoding="utf-8"?>
<calcChain xmlns="http://schemas.openxmlformats.org/spreadsheetml/2006/main">
  <c r="X1500" i="1" l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C3" i="2"/>
  <c r="I3" i="2" l="1"/>
  <c r="D8" i="2"/>
  <c r="D7" i="2"/>
  <c r="C8" i="2" l="1"/>
  <c r="D3" i="2"/>
  <c r="D4" i="2"/>
  <c r="D15" i="2"/>
  <c r="D12" i="2"/>
  <c r="D16" i="2"/>
  <c r="C11" i="2"/>
  <c r="C16" i="2"/>
  <c r="C15" i="2"/>
  <c r="D11" i="2"/>
  <c r="C12" i="2"/>
  <c r="C4" i="2"/>
  <c r="C7" i="2"/>
  <c r="H3" i="2"/>
  <c r="D19" i="2" l="1"/>
  <c r="C19" i="2"/>
  <c r="D26" i="2"/>
  <c r="D27" i="2"/>
  <c r="C27" i="2"/>
  <c r="C26" i="2"/>
  <c r="H4" i="2" l="1"/>
  <c r="H5" i="2" s="1"/>
  <c r="D20" i="2"/>
  <c r="D23" i="2" s="1"/>
  <c r="I4" i="2"/>
  <c r="C20" i="2"/>
  <c r="C23" i="2" s="1"/>
  <c r="H6" i="2" l="1"/>
  <c r="I6" i="2"/>
  <c r="I5" i="2"/>
</calcChain>
</file>

<file path=xl/sharedStrings.xml><?xml version="1.0" encoding="utf-8"?>
<sst xmlns="http://schemas.openxmlformats.org/spreadsheetml/2006/main" count="4185" uniqueCount="776">
  <si>
    <t>Location
ID</t>
  </si>
  <si>
    <t>DBA
Name</t>
  </si>
  <si>
    <t>Currency
Code</t>
  </si>
  <si>
    <t>Terminal
ID</t>
  </si>
  <si>
    <t>Batch
Number</t>
  </si>
  <si>
    <t>Invoice
Number</t>
  </si>
  <si>
    <t>Submit
Date</t>
  </si>
  <si>
    <t>Card
Type</t>
  </si>
  <si>
    <t>Trans
Amount</t>
  </si>
  <si>
    <t>Entry
Mode</t>
  </si>
  <si>
    <t>Entry
Desc</t>
  </si>
  <si>
    <t>Trans
Date</t>
  </si>
  <si>
    <t>Trans
Time</t>
  </si>
  <si>
    <t>Status</t>
  </si>
  <si>
    <t>I/C
Code</t>
  </si>
  <si>
    <t>Service
Code</t>
  </si>
  <si>
    <t>Auth
Transaction
Code</t>
  </si>
  <si>
    <t>Wallet
Identifier</t>
  </si>
  <si>
    <t>Airline Ticket
Number</t>
  </si>
  <si>
    <t>Transaction
Integrity
Class</t>
  </si>
  <si>
    <t>CAD</t>
  </si>
  <si>
    <t>VISA</t>
  </si>
  <si>
    <t>01</t>
  </si>
  <si>
    <t>Manual/key entered (pos 01)</t>
  </si>
  <si>
    <t>A</t>
  </si>
  <si>
    <t>0001</t>
  </si>
  <si>
    <t>MC</t>
  </si>
  <si>
    <t>81</t>
  </si>
  <si>
    <t>Electronic commerce transaction</t>
  </si>
  <si>
    <t>U0 - Unclassified</t>
  </si>
  <si>
    <t>AMEX</t>
  </si>
  <si>
    <t>00:00</t>
  </si>
  <si>
    <t>Credit:</t>
  </si>
  <si>
    <t>Debit:</t>
  </si>
  <si>
    <t>Amex</t>
  </si>
  <si>
    <t>Visa</t>
  </si>
  <si>
    <t>Visa + MC</t>
  </si>
  <si>
    <t>DSCVR</t>
  </si>
  <si>
    <t>Total</t>
  </si>
  <si>
    <t>Error Check</t>
  </si>
  <si>
    <t>Sheet 1</t>
  </si>
  <si>
    <t>Sheet 2</t>
  </si>
  <si>
    <t>Variance</t>
  </si>
  <si>
    <t>UNKNOWN</t>
  </si>
  <si>
    <t>Unknown Transaction</t>
  </si>
  <si>
    <t>16:43</t>
  </si>
  <si>
    <t>16:32</t>
  </si>
  <si>
    <t>14:06</t>
  </si>
  <si>
    <t>11:20</t>
  </si>
  <si>
    <t>13:34</t>
  </si>
  <si>
    <t>15:43</t>
  </si>
  <si>
    <t>13:15</t>
  </si>
  <si>
    <t>12:47</t>
  </si>
  <si>
    <t>20:59</t>
  </si>
  <si>
    <t>18:01</t>
  </si>
  <si>
    <t>23:06</t>
  </si>
  <si>
    <t>16:10</t>
  </si>
  <si>
    <t>10:56</t>
  </si>
  <si>
    <t>13:20</t>
  </si>
  <si>
    <t>12:18</t>
  </si>
  <si>
    <t>17:20</t>
  </si>
  <si>
    <t>17:09</t>
  </si>
  <si>
    <t>20:13</t>
  </si>
  <si>
    <t>17:40</t>
  </si>
  <si>
    <t>21:12</t>
  </si>
  <si>
    <t>14:47</t>
  </si>
  <si>
    <t>19:15</t>
  </si>
  <si>
    <t>12:06</t>
  </si>
  <si>
    <t>20:02</t>
  </si>
  <si>
    <t>17:06</t>
  </si>
  <si>
    <t>18:15</t>
  </si>
  <si>
    <t>14:51</t>
  </si>
  <si>
    <t>17:38</t>
  </si>
  <si>
    <t>19:58</t>
  </si>
  <si>
    <t>13:58</t>
  </si>
  <si>
    <t>14:48</t>
  </si>
  <si>
    <t>18:41</t>
  </si>
  <si>
    <t>11/02/21</t>
  </si>
  <si>
    <t>10/31/21</t>
  </si>
  <si>
    <t>18:34</t>
  </si>
  <si>
    <t>11/01/21</t>
  </si>
  <si>
    <t>14:52</t>
  </si>
  <si>
    <t>15:31</t>
  </si>
  <si>
    <t>10:36</t>
  </si>
  <si>
    <t>19:20</t>
  </si>
  <si>
    <t>18:22</t>
  </si>
  <si>
    <t>18:50</t>
  </si>
  <si>
    <t>19:19</t>
  </si>
  <si>
    <t>14:40</t>
  </si>
  <si>
    <t>14:33</t>
  </si>
  <si>
    <t>20:12</t>
  </si>
  <si>
    <t>17:31</t>
  </si>
  <si>
    <t>13:49</t>
  </si>
  <si>
    <t>20:17</t>
  </si>
  <si>
    <t>15:04</t>
  </si>
  <si>
    <t>11:40</t>
  </si>
  <si>
    <t>14:28</t>
  </si>
  <si>
    <t>19:25</t>
  </si>
  <si>
    <t>19:02</t>
  </si>
  <si>
    <t>15:38</t>
  </si>
  <si>
    <t>22:09</t>
  </si>
  <si>
    <t>10:02</t>
  </si>
  <si>
    <t>17:05</t>
  </si>
  <si>
    <t>13:28</t>
  </si>
  <si>
    <t>16:27</t>
  </si>
  <si>
    <t>19:28</t>
  </si>
  <si>
    <t>19:48</t>
  </si>
  <si>
    <t>18:20</t>
  </si>
  <si>
    <t>14:44</t>
  </si>
  <si>
    <t>16:55</t>
  </si>
  <si>
    <t>20:31</t>
  </si>
  <si>
    <t>17:45</t>
  </si>
  <si>
    <t>23:05</t>
  </si>
  <si>
    <t>14:14</t>
  </si>
  <si>
    <t>20:16</t>
  </si>
  <si>
    <t>12:15</t>
  </si>
  <si>
    <t>13:09</t>
  </si>
  <si>
    <t>19:41</t>
  </si>
  <si>
    <t>17:10</t>
  </si>
  <si>
    <t>19:36</t>
  </si>
  <si>
    <t>17:34</t>
  </si>
  <si>
    <t>21:57</t>
  </si>
  <si>
    <t>21:50</t>
  </si>
  <si>
    <t>13:52</t>
  </si>
  <si>
    <t>23:36</t>
  </si>
  <si>
    <t>20:20</t>
  </si>
  <si>
    <t>13:02</t>
  </si>
  <si>
    <t>15:24</t>
  </si>
  <si>
    <t>19:16</t>
  </si>
  <si>
    <t>14:10</t>
  </si>
  <si>
    <t>11:45</t>
  </si>
  <si>
    <t>17:42</t>
  </si>
  <si>
    <t>23:33</t>
  </si>
  <si>
    <t>16:26</t>
  </si>
  <si>
    <t>16:16</t>
  </si>
  <si>
    <t>14:27</t>
  </si>
  <si>
    <t>10:50</t>
  </si>
  <si>
    <t>11:38</t>
  </si>
  <si>
    <t>00:24</t>
  </si>
  <si>
    <t>23:49</t>
  </si>
  <si>
    <t>17:19</t>
  </si>
  <si>
    <t>08:40</t>
  </si>
  <si>
    <t>11:06</t>
  </si>
  <si>
    <t>14:53</t>
  </si>
  <si>
    <t>16:42</t>
  </si>
  <si>
    <t>10:25</t>
  </si>
  <si>
    <t>10:59</t>
  </si>
  <si>
    <t>15:10</t>
  </si>
  <si>
    <t>16:13</t>
  </si>
  <si>
    <t>22:14</t>
  </si>
  <si>
    <t>10:49</t>
  </si>
  <si>
    <t>07:33</t>
  </si>
  <si>
    <t>19:40</t>
  </si>
  <si>
    <t>11:49</t>
  </si>
  <si>
    <t>14:29</t>
  </si>
  <si>
    <t>09:11</t>
  </si>
  <si>
    <t>18:09</t>
  </si>
  <si>
    <t>18:07</t>
  </si>
  <si>
    <t>14:38</t>
  </si>
  <si>
    <t>13:37</t>
  </si>
  <si>
    <t>13:45</t>
  </si>
  <si>
    <t>01:38</t>
  </si>
  <si>
    <t>18:24</t>
  </si>
  <si>
    <t>15:14</t>
  </si>
  <si>
    <t>21:51</t>
  </si>
  <si>
    <t>14:19</t>
  </si>
  <si>
    <t>18:10</t>
  </si>
  <si>
    <t>16:14</t>
  </si>
  <si>
    <t>14:49</t>
  </si>
  <si>
    <t>14:25</t>
  </si>
  <si>
    <t>11:22</t>
  </si>
  <si>
    <t>14:46</t>
  </si>
  <si>
    <t>13:21</t>
  </si>
  <si>
    <t>23:21</t>
  </si>
  <si>
    <t>21:15</t>
  </si>
  <si>
    <t>03:36</t>
  </si>
  <si>
    <t>14:13</t>
  </si>
  <si>
    <t>16:44</t>
  </si>
  <si>
    <t>19:45</t>
  </si>
  <si>
    <t>19:57</t>
  </si>
  <si>
    <t>20:06</t>
  </si>
  <si>
    <t>11:15</t>
  </si>
  <si>
    <t>20:44</t>
  </si>
  <si>
    <t>08:35</t>
  </si>
  <si>
    <t>17:27</t>
  </si>
  <si>
    <t>07:43</t>
  </si>
  <si>
    <t>14:11</t>
  </si>
  <si>
    <t>19:23</t>
  </si>
  <si>
    <t>13:59</t>
  </si>
  <si>
    <t>04:56</t>
  </si>
  <si>
    <t>19:22</t>
  </si>
  <si>
    <t>14:30</t>
  </si>
  <si>
    <t>16:46</t>
  </si>
  <si>
    <t>18:39</t>
  </si>
  <si>
    <t>16:03</t>
  </si>
  <si>
    <t>17:57</t>
  </si>
  <si>
    <t>10:06</t>
  </si>
  <si>
    <t>11:46</t>
  </si>
  <si>
    <t>23:47</t>
  </si>
  <si>
    <t>16:30</t>
  </si>
  <si>
    <t>12:56</t>
  </si>
  <si>
    <t>15:47</t>
  </si>
  <si>
    <t>17:21</t>
  </si>
  <si>
    <t>18:59</t>
  </si>
  <si>
    <t>11:17</t>
  </si>
  <si>
    <t>14:15</t>
  </si>
  <si>
    <t>17:53</t>
  </si>
  <si>
    <t>11:59</t>
  </si>
  <si>
    <t>18:47</t>
  </si>
  <si>
    <t>22:18</t>
  </si>
  <si>
    <t>11:53</t>
  </si>
  <si>
    <t>10:29</t>
  </si>
  <si>
    <t>09:10</t>
  </si>
  <si>
    <t>13:03</t>
  </si>
  <si>
    <t>22:56</t>
  </si>
  <si>
    <t>13:07</t>
  </si>
  <si>
    <t>14:35</t>
  </si>
  <si>
    <t>07:06</t>
  </si>
  <si>
    <t>11:05</t>
  </si>
  <si>
    <t>16:12</t>
  </si>
  <si>
    <t>SampleData.Com</t>
  </si>
  <si>
    <t>0240</t>
  </si>
  <si>
    <t>27087******8403</t>
  </si>
  <si>
    <t>21367******7423</t>
  </si>
  <si>
    <t>60675******9013</t>
  </si>
  <si>
    <t>86998******5535</t>
  </si>
  <si>
    <t>14588******7934</t>
  </si>
  <si>
    <t>16273******7043</t>
  </si>
  <si>
    <t>37921******6108</t>
  </si>
  <si>
    <t>62194******6506</t>
  </si>
  <si>
    <t>88243******3355</t>
  </si>
  <si>
    <t>61733******8390</t>
  </si>
  <si>
    <t>38688******8556</t>
  </si>
  <si>
    <t>81501******6387</t>
  </si>
  <si>
    <t>15746******1915</t>
  </si>
  <si>
    <t>53953******3914</t>
  </si>
  <si>
    <t>58882******4903</t>
  </si>
  <si>
    <t>56837******3125</t>
  </si>
  <si>
    <t>96736******7210</t>
  </si>
  <si>
    <t>98858******3548</t>
  </si>
  <si>
    <t>87598******6998</t>
  </si>
  <si>
    <t>76447******4714</t>
  </si>
  <si>
    <t>52999******4619</t>
  </si>
  <si>
    <t>65678******1156</t>
  </si>
  <si>
    <t>17460******4093</t>
  </si>
  <si>
    <t>29322******7642</t>
  </si>
  <si>
    <t>56457******7743</t>
  </si>
  <si>
    <t>88980******9884</t>
  </si>
  <si>
    <t>46600******8003</t>
  </si>
  <si>
    <t>81195******4243</t>
  </si>
  <si>
    <t>72512******7198</t>
  </si>
  <si>
    <t>59909******6340</t>
  </si>
  <si>
    <t>87484******8725</t>
  </si>
  <si>
    <t>95596******2150</t>
  </si>
  <si>
    <t>99034******9638</t>
  </si>
  <si>
    <t>59243******3692</t>
  </si>
  <si>
    <t>16819******4516</t>
  </si>
  <si>
    <t>27790******9700</t>
  </si>
  <si>
    <t>98136******5586</t>
  </si>
  <si>
    <t>43341******6512</t>
  </si>
  <si>
    <t>60198******9458</t>
  </si>
  <si>
    <t>65525******2184</t>
  </si>
  <si>
    <t>57706******3013</t>
  </si>
  <si>
    <t>19400******3577</t>
  </si>
  <si>
    <t>50954******1924</t>
  </si>
  <si>
    <t>39503******4734</t>
  </si>
  <si>
    <t>83502******5660</t>
  </si>
  <si>
    <t>29751******8684</t>
  </si>
  <si>
    <t>67229******5366</t>
  </si>
  <si>
    <t>53139******1304</t>
  </si>
  <si>
    <t>20576******8497</t>
  </si>
  <si>
    <t>83179******9748</t>
  </si>
  <si>
    <t>89862******4217</t>
  </si>
  <si>
    <t>50113******3655</t>
  </si>
  <si>
    <t>21074******5007</t>
  </si>
  <si>
    <t>84071******2631</t>
  </si>
  <si>
    <t>18029******8270</t>
  </si>
  <si>
    <t>78250******7948</t>
  </si>
  <si>
    <t>53006******9584</t>
  </si>
  <si>
    <t>56968******3424</t>
  </si>
  <si>
    <t>40941******6075</t>
  </si>
  <si>
    <t>64417******7210</t>
  </si>
  <si>
    <t>69797******7524</t>
  </si>
  <si>
    <t>13857******7912</t>
  </si>
  <si>
    <t>33366******8305</t>
  </si>
  <si>
    <t>75295******1087</t>
  </si>
  <si>
    <t>63102******1685</t>
  </si>
  <si>
    <t>18433******1384</t>
  </si>
  <si>
    <t>70230******6940</t>
  </si>
  <si>
    <t>70513******9574</t>
  </si>
  <si>
    <t>26762******4554</t>
  </si>
  <si>
    <t>61554******5085</t>
  </si>
  <si>
    <t>44307******9574</t>
  </si>
  <si>
    <t>56098******4099</t>
  </si>
  <si>
    <t>64241******2919</t>
  </si>
  <si>
    <t>86794******8724</t>
  </si>
  <si>
    <t>77287******8593</t>
  </si>
  <si>
    <t>50955******3828</t>
  </si>
  <si>
    <t>31567******2030</t>
  </si>
  <si>
    <t>85765******4854</t>
  </si>
  <si>
    <t>35654******6240</t>
  </si>
  <si>
    <t>43950******7330</t>
  </si>
  <si>
    <t>82813******9717</t>
  </si>
  <si>
    <t>52182******7009</t>
  </si>
  <si>
    <t>34755******4769</t>
  </si>
  <si>
    <t>51433******1812</t>
  </si>
  <si>
    <t>25190******1399</t>
  </si>
  <si>
    <t>75083******4141</t>
  </si>
  <si>
    <t>32883******6886</t>
  </si>
  <si>
    <t>91680******5079</t>
  </si>
  <si>
    <t>70597******6155</t>
  </si>
  <si>
    <t>20394******3330</t>
  </si>
  <si>
    <t>18379******5072</t>
  </si>
  <si>
    <t>12256******7857</t>
  </si>
  <si>
    <t>11116******6857</t>
  </si>
  <si>
    <t>53071******1175</t>
  </si>
  <si>
    <t>39291******9553</t>
  </si>
  <si>
    <t>68970******5984</t>
  </si>
  <si>
    <t>80072******1005</t>
  </si>
  <si>
    <t>35276******2051</t>
  </si>
  <si>
    <t>81451******4756</t>
  </si>
  <si>
    <t>24569******6448</t>
  </si>
  <si>
    <t>73919******3291</t>
  </si>
  <si>
    <t>86503******5831</t>
  </si>
  <si>
    <t>48094******1120</t>
  </si>
  <si>
    <t>13315******5931</t>
  </si>
  <si>
    <t>44006******7097</t>
  </si>
  <si>
    <t>71192******5707</t>
  </si>
  <si>
    <t>24400******5651</t>
  </si>
  <si>
    <t>60780******6264</t>
  </si>
  <si>
    <t>26628******1660</t>
  </si>
  <si>
    <t>94208******5890</t>
  </si>
  <si>
    <t>20899******3907</t>
  </si>
  <si>
    <t>83037******4823</t>
  </si>
  <si>
    <t>44272******4697</t>
  </si>
  <si>
    <t>48809******1717</t>
  </si>
  <si>
    <t>46260******7116</t>
  </si>
  <si>
    <t>30199******4811</t>
  </si>
  <si>
    <t>95532******5406</t>
  </si>
  <si>
    <t>72868******9490</t>
  </si>
  <si>
    <t>82611******3901</t>
  </si>
  <si>
    <t>79871******9096</t>
  </si>
  <si>
    <t>91354******1304</t>
  </si>
  <si>
    <t>98291******7765</t>
  </si>
  <si>
    <t>15285******8191</t>
  </si>
  <si>
    <t>34241******1102</t>
  </si>
  <si>
    <t>71515******3884</t>
  </si>
  <si>
    <t>97103******6080</t>
  </si>
  <si>
    <t>46659******4217</t>
  </si>
  <si>
    <t>85953******6451</t>
  </si>
  <si>
    <t>24056******9962</t>
  </si>
  <si>
    <t>51368******9250</t>
  </si>
  <si>
    <t>79852******2145</t>
  </si>
  <si>
    <t>98541******2873</t>
  </si>
  <si>
    <t>75726******3292</t>
  </si>
  <si>
    <t>28438******6760</t>
  </si>
  <si>
    <t>15059******5831</t>
  </si>
  <si>
    <t>74125******5299</t>
  </si>
  <si>
    <t>36009******5980</t>
  </si>
  <si>
    <t>35729******8082</t>
  </si>
  <si>
    <t>67195******6941</t>
  </si>
  <si>
    <t>99433******3449</t>
  </si>
  <si>
    <t>31442******7210</t>
  </si>
  <si>
    <t>31327******3804</t>
  </si>
  <si>
    <t>69977******5671</t>
  </si>
  <si>
    <t>34986******3228</t>
  </si>
  <si>
    <t>50854******6546</t>
  </si>
  <si>
    <t>40581******1149</t>
  </si>
  <si>
    <t>87418******9875</t>
  </si>
  <si>
    <t>29639******5600</t>
  </si>
  <si>
    <t>40972******8408</t>
  </si>
  <si>
    <t>34189******8059</t>
  </si>
  <si>
    <t>50941******8206</t>
  </si>
  <si>
    <t>85582******4115</t>
  </si>
  <si>
    <t>93186******1885</t>
  </si>
  <si>
    <t>30363******3616</t>
  </si>
  <si>
    <t>76986******6484</t>
  </si>
  <si>
    <t>37511******8216</t>
  </si>
  <si>
    <t>48469******6442</t>
  </si>
  <si>
    <t>92363******5164</t>
  </si>
  <si>
    <t>89847******8461</t>
  </si>
  <si>
    <t>74872******4361</t>
  </si>
  <si>
    <t>13842******3980</t>
  </si>
  <si>
    <t>23793******8643</t>
  </si>
  <si>
    <t>53425******4997</t>
  </si>
  <si>
    <t>96175******5032</t>
  </si>
  <si>
    <t>70586******4376</t>
  </si>
  <si>
    <t>40251******8528</t>
  </si>
  <si>
    <t>20357******7647</t>
  </si>
  <si>
    <t>99468******3406</t>
  </si>
  <si>
    <t>24873******3142</t>
  </si>
  <si>
    <t>49392******2329</t>
  </si>
  <si>
    <t>34584******2327</t>
  </si>
  <si>
    <t>18146******4395</t>
  </si>
  <si>
    <t>97034******5678</t>
  </si>
  <si>
    <t>90265******8295</t>
  </si>
  <si>
    <t>91409******4817</t>
  </si>
  <si>
    <t>72787******2325</t>
  </si>
  <si>
    <t>94890******8404</t>
  </si>
  <si>
    <t>48700******9737</t>
  </si>
  <si>
    <t>58711******2804</t>
  </si>
  <si>
    <t>11690******5651</t>
  </si>
  <si>
    <t>89079******7158</t>
  </si>
  <si>
    <t>58611******3907</t>
  </si>
  <si>
    <t>93698******2862</t>
  </si>
  <si>
    <t>20681******8136</t>
  </si>
  <si>
    <t>84545******6577</t>
  </si>
  <si>
    <t>85510******4705</t>
  </si>
  <si>
    <t>20247******7680</t>
  </si>
  <si>
    <t>63090******5341</t>
  </si>
  <si>
    <t>80040******5548</t>
  </si>
  <si>
    <t>96229******3899</t>
  </si>
  <si>
    <t>79058******9319</t>
  </si>
  <si>
    <t>24561******8178</t>
  </si>
  <si>
    <t>31256******5779</t>
  </si>
  <si>
    <t>36566******6199</t>
  </si>
  <si>
    <t>84892******5681</t>
  </si>
  <si>
    <t>16664******4005</t>
  </si>
  <si>
    <t>87607******5891</t>
  </si>
  <si>
    <t>54801******6048</t>
  </si>
  <si>
    <t>53937******5943</t>
  </si>
  <si>
    <t>80293******2007</t>
  </si>
  <si>
    <t>79826******2783</t>
  </si>
  <si>
    <t>74001******6812</t>
  </si>
  <si>
    <t>31744******6202</t>
  </si>
  <si>
    <t>56844******3573</t>
  </si>
  <si>
    <t>26417******7940</t>
  </si>
  <si>
    <t>37083******3919</t>
  </si>
  <si>
    <t>32181******9585</t>
  </si>
  <si>
    <t>78092******6447</t>
  </si>
  <si>
    <t>89427******6247</t>
  </si>
  <si>
    <t>70778******4645</t>
  </si>
  <si>
    <t>71677******1942</t>
  </si>
  <si>
    <t>64128******1390</t>
  </si>
  <si>
    <t>82862******6699</t>
  </si>
  <si>
    <t>48513******1421</t>
  </si>
  <si>
    <t>71224******9097</t>
  </si>
  <si>
    <t>15853******6353</t>
  </si>
  <si>
    <t>34246******4747</t>
  </si>
  <si>
    <t>94967******8130</t>
  </si>
  <si>
    <t>26834******2227</t>
  </si>
  <si>
    <t>31437******9087</t>
  </si>
  <si>
    <t>58858******9894</t>
  </si>
  <si>
    <t>48660******1707</t>
  </si>
  <si>
    <t>81237******6541</t>
  </si>
  <si>
    <t>81199******1326</t>
  </si>
  <si>
    <t>73482******2106</t>
  </si>
  <si>
    <t>71284******6912</t>
  </si>
  <si>
    <t>77275******6696</t>
  </si>
  <si>
    <t>30678******8690</t>
  </si>
  <si>
    <t>12943******9416</t>
  </si>
  <si>
    <t>46708******8046</t>
  </si>
  <si>
    <t>71031******7423</t>
  </si>
  <si>
    <t>30630******7261</t>
  </si>
  <si>
    <t>11810******2343</t>
  </si>
  <si>
    <t>58888******2655</t>
  </si>
  <si>
    <t>59740******5365</t>
  </si>
  <si>
    <t>74920******5145</t>
  </si>
  <si>
    <t>80888******1630</t>
  </si>
  <si>
    <t>73197******3515</t>
  </si>
  <si>
    <t>92543******1545</t>
  </si>
  <si>
    <t>24276******2064</t>
  </si>
  <si>
    <t>24275******7687</t>
  </si>
  <si>
    <t>30046******7435</t>
  </si>
  <si>
    <t>60232******5535</t>
  </si>
  <si>
    <t>98644******1367</t>
  </si>
  <si>
    <t>59769******2249</t>
  </si>
  <si>
    <t>68179******9960</t>
  </si>
  <si>
    <t>29632******8334</t>
  </si>
  <si>
    <t>99653******2442</t>
  </si>
  <si>
    <t>63182******5939</t>
  </si>
  <si>
    <t>28982******3779</t>
  </si>
  <si>
    <t>47182******9973</t>
  </si>
  <si>
    <t>58349******4251</t>
  </si>
  <si>
    <t>56112******1200</t>
  </si>
  <si>
    <t>74756******2624</t>
  </si>
  <si>
    <t>54670******4497</t>
  </si>
  <si>
    <t>64454******9436</t>
  </si>
  <si>
    <t>15550******8262</t>
  </si>
  <si>
    <t>63796******7517</t>
  </si>
  <si>
    <t>93133******5832</t>
  </si>
  <si>
    <t>95247******9883</t>
  </si>
  <si>
    <t>85549******1962</t>
  </si>
  <si>
    <t>43394******3900</t>
  </si>
  <si>
    <t>35299******2420</t>
  </si>
  <si>
    <t>57114******6658</t>
  </si>
  <si>
    <t>86905******9962</t>
  </si>
  <si>
    <t>86861******7451</t>
  </si>
  <si>
    <t>40106******7352</t>
  </si>
  <si>
    <t>83898******2239</t>
  </si>
  <si>
    <t>44928******9198</t>
  </si>
  <si>
    <t>47972******5255</t>
  </si>
  <si>
    <t>93349******8992</t>
  </si>
  <si>
    <t>93538******3218</t>
  </si>
  <si>
    <t>28411******6029</t>
  </si>
  <si>
    <t>99058******7982</t>
  </si>
  <si>
    <t>Cardholder
Number 
(Sample Data Using =RandBetween()</t>
  </si>
  <si>
    <t>282328D</t>
  </si>
  <si>
    <t>362385D</t>
  </si>
  <si>
    <t>867173D</t>
  </si>
  <si>
    <t>802571D</t>
  </si>
  <si>
    <t>826972D</t>
  </si>
  <si>
    <t>220617D</t>
  </si>
  <si>
    <t>940314D</t>
  </si>
  <si>
    <t>964312D</t>
  </si>
  <si>
    <t>909213D</t>
  </si>
  <si>
    <t>290011D</t>
  </si>
  <si>
    <t>303372D</t>
  </si>
  <si>
    <t>677630D</t>
  </si>
  <si>
    <t>288684D</t>
  </si>
  <si>
    <t>699067D</t>
  </si>
  <si>
    <t>776698D</t>
  </si>
  <si>
    <t>587255D</t>
  </si>
  <si>
    <t>907348D</t>
  </si>
  <si>
    <t>375509D</t>
  </si>
  <si>
    <t>316215D</t>
  </si>
  <si>
    <t>446386D</t>
  </si>
  <si>
    <t>593287D</t>
  </si>
  <si>
    <t>251239D</t>
  </si>
  <si>
    <t>838276D</t>
  </si>
  <si>
    <t>880284D</t>
  </si>
  <si>
    <t>918597D</t>
  </si>
  <si>
    <t>847045D</t>
  </si>
  <si>
    <t>370296D</t>
  </si>
  <si>
    <t>439575D</t>
  </si>
  <si>
    <t>815288D</t>
  </si>
  <si>
    <t>413556D</t>
  </si>
  <si>
    <t>515746D</t>
  </si>
  <si>
    <t>617093D</t>
  </si>
  <si>
    <t>326353D</t>
  </si>
  <si>
    <t>789013D</t>
  </si>
  <si>
    <t>525086D</t>
  </si>
  <si>
    <t>177350D</t>
  </si>
  <si>
    <t>216294D</t>
  </si>
  <si>
    <t>508814D</t>
  </si>
  <si>
    <t>926120D</t>
  </si>
  <si>
    <t>778167D</t>
  </si>
  <si>
    <t>350292D</t>
  </si>
  <si>
    <t>618063D</t>
  </si>
  <si>
    <t>960320D</t>
  </si>
  <si>
    <t>574706D</t>
  </si>
  <si>
    <t>486319D</t>
  </si>
  <si>
    <t>281361D</t>
  </si>
  <si>
    <t>870500D</t>
  </si>
  <si>
    <t>396486D</t>
  </si>
  <si>
    <t>312064D</t>
  </si>
  <si>
    <t>447256D</t>
  </si>
  <si>
    <t>525187D</t>
  </si>
  <si>
    <t>112152D</t>
  </si>
  <si>
    <t>273830D</t>
  </si>
  <si>
    <t>604077D</t>
  </si>
  <si>
    <t>258495D</t>
  </si>
  <si>
    <t>481346D</t>
  </si>
  <si>
    <t>277039D</t>
  </si>
  <si>
    <t>166878D</t>
  </si>
  <si>
    <t>933263D</t>
  </si>
  <si>
    <t>427192D</t>
  </si>
  <si>
    <t>771398D</t>
  </si>
  <si>
    <t>617843D</t>
  </si>
  <si>
    <t>634395D</t>
  </si>
  <si>
    <t>542814D</t>
  </si>
  <si>
    <t>235091D</t>
  </si>
  <si>
    <t>527440D</t>
  </si>
  <si>
    <t>682428D</t>
  </si>
  <si>
    <t>684420D</t>
  </si>
  <si>
    <t>191902D</t>
  </si>
  <si>
    <t>667837D</t>
  </si>
  <si>
    <t>953943D</t>
  </si>
  <si>
    <t>360857D</t>
  </si>
  <si>
    <t>779517D</t>
  </si>
  <si>
    <t>618616D</t>
  </si>
  <si>
    <t>331118D</t>
  </si>
  <si>
    <t>918323D</t>
  </si>
  <si>
    <t>825000D</t>
  </si>
  <si>
    <t>862125D</t>
  </si>
  <si>
    <t>512645D</t>
  </si>
  <si>
    <t>324801D</t>
  </si>
  <si>
    <t>974124D</t>
  </si>
  <si>
    <t>719818D</t>
  </si>
  <si>
    <t>964671D</t>
  </si>
  <si>
    <t>716611D</t>
  </si>
  <si>
    <t>800086D</t>
  </si>
  <si>
    <t>929024D</t>
  </si>
  <si>
    <t>674792D</t>
  </si>
  <si>
    <t>755428D</t>
  </si>
  <si>
    <t>935095D</t>
  </si>
  <si>
    <t>836543D</t>
  </si>
  <si>
    <t>760358D</t>
  </si>
  <si>
    <t>917950D</t>
  </si>
  <si>
    <t>922550D</t>
  </si>
  <si>
    <t>772686D</t>
  </si>
  <si>
    <t>410879D</t>
  </si>
  <si>
    <t>584763D</t>
  </si>
  <si>
    <t>603397D</t>
  </si>
  <si>
    <t>243506D</t>
  </si>
  <si>
    <t>259358D</t>
  </si>
  <si>
    <t>198004D</t>
  </si>
  <si>
    <t>288731D</t>
  </si>
  <si>
    <t>219881D</t>
  </si>
  <si>
    <t>358656D</t>
  </si>
  <si>
    <t>831853D</t>
  </si>
  <si>
    <t>509540D</t>
  </si>
  <si>
    <t>953005D</t>
  </si>
  <si>
    <t>588468D</t>
  </si>
  <si>
    <t>916834D</t>
  </si>
  <si>
    <t>392632D</t>
  </si>
  <si>
    <t>738269D</t>
  </si>
  <si>
    <t>760561D</t>
  </si>
  <si>
    <t>270294D</t>
  </si>
  <si>
    <t>170089D</t>
  </si>
  <si>
    <t>385885D</t>
  </si>
  <si>
    <t>904748D</t>
  </si>
  <si>
    <t>537678D</t>
  </si>
  <si>
    <t>519282D</t>
  </si>
  <si>
    <t>553278D</t>
  </si>
  <si>
    <t>892394D</t>
  </si>
  <si>
    <t>259443D</t>
  </si>
  <si>
    <t>166145D</t>
  </si>
  <si>
    <t>707188D</t>
  </si>
  <si>
    <t>702101D</t>
  </si>
  <si>
    <t>316986D</t>
  </si>
  <si>
    <t>444453D</t>
  </si>
  <si>
    <t>503009D</t>
  </si>
  <si>
    <t>976740D</t>
  </si>
  <si>
    <t>665260D</t>
  </si>
  <si>
    <t>738219D</t>
  </si>
  <si>
    <t>236706D</t>
  </si>
  <si>
    <t>881551D</t>
  </si>
  <si>
    <t>164235D</t>
  </si>
  <si>
    <t>496563D</t>
  </si>
  <si>
    <t>906241D</t>
  </si>
  <si>
    <t>241239D</t>
  </si>
  <si>
    <t>580931D</t>
  </si>
  <si>
    <t>837219D</t>
  </si>
  <si>
    <t>386184D</t>
  </si>
  <si>
    <t>196329D</t>
  </si>
  <si>
    <t>202533D</t>
  </si>
  <si>
    <t>896633D</t>
  </si>
  <si>
    <t>702618D</t>
  </si>
  <si>
    <t>292092D</t>
  </si>
  <si>
    <t>456371D</t>
  </si>
  <si>
    <t>214464D</t>
  </si>
  <si>
    <t>817741D</t>
  </si>
  <si>
    <t>320527D</t>
  </si>
  <si>
    <t>433347D</t>
  </si>
  <si>
    <t>581925D</t>
  </si>
  <si>
    <t>472278D</t>
  </si>
  <si>
    <t>197222D</t>
  </si>
  <si>
    <t>113473D</t>
  </si>
  <si>
    <t>165914D</t>
  </si>
  <si>
    <t>654990D</t>
  </si>
  <si>
    <t>576552D</t>
  </si>
  <si>
    <t>950777D</t>
  </si>
  <si>
    <t>964995D</t>
  </si>
  <si>
    <t>389235D</t>
  </si>
  <si>
    <t>703715D</t>
  </si>
  <si>
    <t>549924D</t>
  </si>
  <si>
    <t>368137D</t>
  </si>
  <si>
    <t>119119D</t>
  </si>
  <si>
    <t>841827D</t>
  </si>
  <si>
    <t>328388D</t>
  </si>
  <si>
    <t>225743D</t>
  </si>
  <si>
    <t>364908D</t>
  </si>
  <si>
    <t>376826D</t>
  </si>
  <si>
    <t>730838D</t>
  </si>
  <si>
    <t>177466D</t>
  </si>
  <si>
    <t>188501D</t>
  </si>
  <si>
    <t>808421D</t>
  </si>
  <si>
    <t>732124D</t>
  </si>
  <si>
    <t>361648D</t>
  </si>
  <si>
    <t>550196D</t>
  </si>
  <si>
    <t>908972D</t>
  </si>
  <si>
    <t>113112D</t>
  </si>
  <si>
    <t>249442D</t>
  </si>
  <si>
    <t>288890D</t>
  </si>
  <si>
    <t>252258D</t>
  </si>
  <si>
    <t>223366D</t>
  </si>
  <si>
    <t>867856D</t>
  </si>
  <si>
    <t>320154D</t>
  </si>
  <si>
    <t>263783D</t>
  </si>
  <si>
    <t>932559D</t>
  </si>
  <si>
    <t>393130D</t>
  </si>
  <si>
    <t>544197D</t>
  </si>
  <si>
    <t>706159D</t>
  </si>
  <si>
    <t>595609D</t>
  </si>
  <si>
    <t>154972D</t>
  </si>
  <si>
    <t>594179D</t>
  </si>
  <si>
    <t>171046D</t>
  </si>
  <si>
    <t>196289D</t>
  </si>
  <si>
    <t>804071D</t>
  </si>
  <si>
    <t>528278D</t>
  </si>
  <si>
    <t>586116D</t>
  </si>
  <si>
    <t>100293D</t>
  </si>
  <si>
    <t>433988D</t>
  </si>
  <si>
    <t>935601D</t>
  </si>
  <si>
    <t>633400D</t>
  </si>
  <si>
    <t>972148D</t>
  </si>
  <si>
    <t>593842D</t>
  </si>
  <si>
    <t>248577D</t>
  </si>
  <si>
    <t>417051D</t>
  </si>
  <si>
    <t>138416D</t>
  </si>
  <si>
    <t>597747D</t>
  </si>
  <si>
    <t>445453D</t>
  </si>
  <si>
    <t>824648D</t>
  </si>
  <si>
    <t>923523D</t>
  </si>
  <si>
    <t>686906D</t>
  </si>
  <si>
    <t>811534D</t>
  </si>
  <si>
    <t>120097D</t>
  </si>
  <si>
    <t>497271D</t>
  </si>
  <si>
    <t>422192D</t>
  </si>
  <si>
    <t>430331D</t>
  </si>
  <si>
    <t>700567D</t>
  </si>
  <si>
    <t>924994D</t>
  </si>
  <si>
    <t>462481D</t>
  </si>
  <si>
    <t>798011D</t>
  </si>
  <si>
    <t>425868D</t>
  </si>
  <si>
    <t>189268D</t>
  </si>
  <si>
    <t>463144D</t>
  </si>
  <si>
    <t>558603D</t>
  </si>
  <si>
    <t>765458D</t>
  </si>
  <si>
    <t>110576D</t>
  </si>
  <si>
    <t>689514D</t>
  </si>
  <si>
    <t>322267D</t>
  </si>
  <si>
    <t>367134D</t>
  </si>
  <si>
    <t>785827D</t>
  </si>
  <si>
    <t>459677D</t>
  </si>
  <si>
    <t>891090D</t>
  </si>
  <si>
    <t>628968D</t>
  </si>
  <si>
    <t>614717D</t>
  </si>
  <si>
    <t>291876D</t>
  </si>
  <si>
    <t>394836D</t>
  </si>
  <si>
    <t>171751D</t>
  </si>
  <si>
    <t>916963D</t>
  </si>
  <si>
    <t>971533D</t>
  </si>
  <si>
    <t>950588D</t>
  </si>
  <si>
    <t>733288D</t>
  </si>
  <si>
    <t>619560D</t>
  </si>
  <si>
    <t>296873D</t>
  </si>
  <si>
    <t>530125D</t>
  </si>
  <si>
    <t>399531D</t>
  </si>
  <si>
    <t>239045D</t>
  </si>
  <si>
    <t>483476D</t>
  </si>
  <si>
    <t>304652D</t>
  </si>
  <si>
    <t>307217D</t>
  </si>
  <si>
    <t>172413D</t>
  </si>
  <si>
    <t>420104D</t>
  </si>
  <si>
    <t>568099D</t>
  </si>
  <si>
    <t>152155D</t>
  </si>
  <si>
    <t>154897D</t>
  </si>
  <si>
    <t>883118D</t>
  </si>
  <si>
    <t>731872D</t>
  </si>
  <si>
    <t>110204D</t>
  </si>
  <si>
    <t>362442D</t>
  </si>
  <si>
    <t>542570D</t>
  </si>
  <si>
    <t>260572D</t>
  </si>
  <si>
    <t>564517D</t>
  </si>
  <si>
    <t>911404D</t>
  </si>
  <si>
    <t>750337D</t>
  </si>
  <si>
    <t>184180D</t>
  </si>
  <si>
    <t>788825D</t>
  </si>
  <si>
    <t>606635D</t>
  </si>
  <si>
    <t>142731D</t>
  </si>
  <si>
    <t>751308D</t>
  </si>
  <si>
    <t>826601D</t>
  </si>
  <si>
    <t>209317D</t>
  </si>
  <si>
    <t>872387D</t>
  </si>
  <si>
    <t>809138D</t>
  </si>
  <si>
    <t>775569D</t>
  </si>
  <si>
    <t>291023D</t>
  </si>
  <si>
    <t>948541D</t>
  </si>
  <si>
    <t>755087D</t>
  </si>
  <si>
    <t>Auth
Code
(Sample Data Using =RandBetween()</t>
  </si>
  <si>
    <t>D33W</t>
  </si>
  <si>
    <t>All Values Use Sample Data</t>
  </si>
  <si>
    <t>Credit Transaction Detail
All Values Use Sample Data</t>
  </si>
  <si>
    <t>FUCK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</si>
</sst>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_);[Red]\(0\)"/>
  </numFmts>
  <fonts count="9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b/>
      <sz val="16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8"/>
      <color indexed="8"/>
      <name val="Times New Roman"/>
      <family val="1"/>
    </font>
    <font>
      <sz val="8"/>
      <color indexed="8"/>
      <name val="Times New Roman"/>
      <family val="1"/>
    </font>
    <font>
      <b/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40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/>
    </xf>
  </cellStyleXfs>
  <cellXfs count="38">
    <xf numFmtId="0" fontId="0" fillId="0" borderId="0" xfId="0">
      <alignment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6" fillId="0" borderId="4" xfId="0" applyFont="1" applyBorder="1">
      <alignment vertical="top"/>
    </xf>
    <xf numFmtId="0" fontId="6" fillId="0" borderId="2" xfId="0" applyFont="1" applyBorder="1">
      <alignment vertical="top"/>
    </xf>
    <xf numFmtId="0" fontId="0" fillId="0" borderId="1" xfId="0" applyBorder="1">
      <alignment vertical="top"/>
    </xf>
    <xf numFmtId="8" fontId="0" fillId="0" borderId="1" xfId="0" applyNumberFormat="1" applyBorder="1">
      <alignment vertical="top"/>
    </xf>
    <xf numFmtId="8" fontId="0" fillId="0" borderId="5" xfId="0" applyNumberFormat="1" applyBorder="1">
      <alignment vertical="top"/>
    </xf>
    <xf numFmtId="0" fontId="0" fillId="0" borderId="3" xfId="0" applyBorder="1">
      <alignment vertical="top"/>
    </xf>
    <xf numFmtId="0" fontId="6" fillId="0" borderId="1" xfId="0" applyFont="1" applyBorder="1">
      <alignment vertical="top"/>
    </xf>
    <xf numFmtId="0" fontId="6" fillId="2" borderId="1" xfId="0" applyFont="1" applyFill="1" applyBorder="1">
      <alignment vertical="top"/>
    </xf>
    <xf numFmtId="8" fontId="0" fillId="2" borderId="1" xfId="0" applyNumberFormat="1" applyFill="1" applyBorder="1">
      <alignment vertical="top"/>
    </xf>
    <xf numFmtId="164" fontId="0" fillId="2" borderId="1" xfId="0" applyNumberFormat="1" applyFill="1" applyBorder="1" applyAlignment="1">
      <alignment horizontal="right" vertical="top"/>
    </xf>
    <xf numFmtId="164" fontId="0" fillId="0" borderId="1" xfId="0" applyNumberFormat="1" applyBorder="1">
      <alignment vertical="top"/>
    </xf>
    <xf numFmtId="4" fontId="5" fillId="0" borderId="0" xfId="0" applyNumberFormat="1" applyFont="1" applyAlignment="1">
      <alignment horizontal="right" vertical="top"/>
    </xf>
    <xf numFmtId="0" fontId="0" fillId="0" borderId="0" xfId="0" quotePrefix="1">
      <alignment vertical="top"/>
    </xf>
    <xf numFmtId="8" fontId="0" fillId="0" borderId="0" xfId="0" applyNumberFormat="1">
      <alignment vertical="top"/>
    </xf>
    <xf numFmtId="0" fontId="5" fillId="0" borderId="0" xfId="0" quotePrefix="1" applyFont="1" applyAlignment="1">
      <alignment horizontal="left" vertical="top"/>
    </xf>
    <xf numFmtId="0" fontId="0" fillId="0" borderId="0" xfId="0" applyFill="1">
      <alignment vertical="top"/>
    </xf>
    <xf numFmtId="0" fontId="0" fillId="3" borderId="0" xfId="0" applyFill="1">
      <alignment vertical="top"/>
    </xf>
    <xf numFmtId="0" fontId="7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 wrapText="1" readingOrder="1"/>
    </xf>
    <xf numFmtId="0" fontId="6" fillId="0" borderId="2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1" fillId="0" borderId="2" xfId="0" quotePrefix="1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8" fillId="0" borderId="0" xfId="0" applyFont="1">
      <alignment vertical="top"/>
    </xf>
  </cellXfs>
  <cellStyles count="1">
    <cellStyle name="Normal" xfId="0" builtinId="0"/>
  </cellStyles>
  <dxfs count="1">
    <dxf>
      <font>
        <b/>
        <i val="0"/>
        <color auto="1"/>
      </font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  <pageSetUpPr autoPageBreaks="0"/>
  </sheetPr>
  <dimension ref="A1:WWC1500"/>
  <sheetViews>
    <sheetView tabSelected="1" showOutlineSymbols="0" zoomScaleNormal="100" workbookViewId="0"/>
  </sheetViews>
  <sheetFormatPr defaultColWidth="6.85546875" defaultRowHeight="12.75" customHeight="1" x14ac:dyDescent="0.2"/>
  <cols>
    <col min="1" max="1" width="12.5703125" customWidth="1"/>
    <col min="2" max="2" width="30" customWidth="1"/>
    <col min="3" max="3" width="18.140625" customWidth="1"/>
    <col min="4" max="4" width="14.7109375" customWidth="1"/>
    <col min="5" max="5" width="11.42578125" customWidth="1"/>
    <col min="6" max="6" width="16" customWidth="1"/>
    <col min="7" max="7" width="9" customWidth="1"/>
    <col min="8" max="8" width="7.7109375" customWidth="1"/>
    <col min="9" max="9" width="18.5703125" customWidth="1"/>
    <col min="10" max="10" width="11.5703125" style="16" customWidth="1"/>
    <col min="11" max="11" width="10.28515625" customWidth="1"/>
    <col min="12" max="12" width="30.85546875" customWidth="1"/>
    <col min="13" max="14" width="6.85546875" customWidth="1"/>
    <col min="15" max="15" width="14.28515625" bestFit="1" customWidth="1"/>
    <col min="16" max="16" width="7" customWidth="1"/>
    <col min="17" max="17" width="7.140625" customWidth="1"/>
    <col min="18" max="18" width="12.85546875" customWidth="1"/>
    <col min="19" max="19" width="16" bestFit="1" customWidth="1"/>
    <col min="20" max="20" width="12.5703125" customWidth="1"/>
    <col min="21" max="21" width="13.7109375" customWidth="1"/>
    <col min="22" max="22" width="27.42578125" customWidth="1"/>
    <col min="23" max="23" width="3.7109375" customWidth="1"/>
  </cols>
  <sheetData>
    <row r="1" spans="1:25" ht="47.25" x14ac:dyDescent="0.2">
      <c r="A1" s="20" t="s">
        <v>773</v>
      </c>
      <c r="B1" s="26" t="s">
        <v>774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19"/>
      <c r="Y1" s="19"/>
    </row>
    <row r="2" spans="1:25" ht="13.5" customHeight="1" x14ac:dyDescent="0.2">
      <c r="B2" s="28" t="s">
        <v>773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19"/>
      <c r="Y2" s="19"/>
    </row>
    <row r="3" spans="1:25" ht="12" customHeight="1" x14ac:dyDescent="0.2">
      <c r="J3"/>
      <c r="W3" s="19"/>
      <c r="Y3" s="19"/>
    </row>
    <row r="4" spans="1:25" ht="13.5" customHeight="1" x14ac:dyDescent="0.2">
      <c r="A4" s="21" t="s">
        <v>773</v>
      </c>
      <c r="B4" s="21"/>
      <c r="C4" s="21"/>
      <c r="D4" s="21"/>
      <c r="E4" s="21"/>
      <c r="F4" s="21"/>
      <c r="G4" s="21"/>
      <c r="H4" s="21"/>
      <c r="I4" s="21"/>
      <c r="J4" s="23" t="s">
        <v>773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19"/>
      <c r="Y4" s="19"/>
    </row>
    <row r="5" spans="1:25" ht="12" customHeight="1" x14ac:dyDescent="0.2">
      <c r="J5"/>
      <c r="W5" s="19"/>
      <c r="Y5" s="19"/>
    </row>
    <row r="6" spans="1:25" ht="11.25" customHeight="1" x14ac:dyDescent="0.2">
      <c r="A6" s="22" t="s">
        <v>0</v>
      </c>
      <c r="B6" s="22" t="s">
        <v>1</v>
      </c>
      <c r="C6" s="22" t="s">
        <v>2</v>
      </c>
      <c r="D6" s="22" t="s">
        <v>3</v>
      </c>
      <c r="E6" s="22" t="s">
        <v>4</v>
      </c>
      <c r="F6" s="22" t="s">
        <v>5</v>
      </c>
      <c r="G6" s="24" t="s">
        <v>6</v>
      </c>
      <c r="H6" s="22" t="s">
        <v>7</v>
      </c>
      <c r="I6" s="22" t="s">
        <v>496</v>
      </c>
      <c r="J6" s="29" t="s">
        <v>8</v>
      </c>
      <c r="K6" s="24" t="s">
        <v>9</v>
      </c>
      <c r="L6" s="22" t="s">
        <v>10</v>
      </c>
      <c r="M6" s="24" t="s">
        <v>11</v>
      </c>
      <c r="N6" s="24" t="s">
        <v>12</v>
      </c>
      <c r="O6" s="22" t="s">
        <v>771</v>
      </c>
      <c r="P6" s="25" t="s">
        <v>13</v>
      </c>
      <c r="Q6" s="22" t="s">
        <v>14</v>
      </c>
      <c r="R6" s="22" t="s">
        <v>15</v>
      </c>
      <c r="S6" s="22" t="s">
        <v>16</v>
      </c>
      <c r="T6" s="22" t="s">
        <v>17</v>
      </c>
      <c r="U6" s="22" t="s">
        <v>18</v>
      </c>
      <c r="V6" s="22" t="s">
        <v>19</v>
      </c>
      <c r="W6" s="19"/>
      <c r="Y6" s="19"/>
    </row>
    <row r="7" spans="1:25" ht="11.25" customHeight="1" x14ac:dyDescent="0.2">
      <c r="A7" s="22"/>
      <c r="B7" s="22"/>
      <c r="C7" s="22"/>
      <c r="D7" s="22"/>
      <c r="E7" s="22"/>
      <c r="F7" s="22"/>
      <c r="G7" s="24"/>
      <c r="H7" s="22"/>
      <c r="I7" s="22"/>
      <c r="J7" s="29"/>
      <c r="K7" s="24"/>
      <c r="L7" s="22"/>
      <c r="M7" s="24"/>
      <c r="N7" s="24"/>
      <c r="O7" s="22"/>
      <c r="P7" s="25"/>
      <c r="Q7" s="22"/>
      <c r="R7" s="22"/>
      <c r="S7" s="22"/>
      <c r="T7" s="22"/>
      <c r="U7" s="22"/>
      <c r="V7" s="22"/>
      <c r="W7" s="19"/>
      <c r="Y7" s="19"/>
    </row>
    <row r="8" spans="1:25" ht="36.75" customHeight="1" x14ac:dyDescent="0.2">
      <c r="A8" s="22"/>
      <c r="B8" s="22"/>
      <c r="C8" s="22"/>
      <c r="D8" s="22"/>
      <c r="E8" s="22"/>
      <c r="F8" s="22"/>
      <c r="G8" s="24"/>
      <c r="H8" s="22"/>
      <c r="I8" s="22"/>
      <c r="J8" s="29"/>
      <c r="K8" s="24"/>
      <c r="L8" s="22"/>
      <c r="M8" s="24"/>
      <c r="N8" s="24"/>
      <c r="O8" s="22"/>
      <c r="P8" s="25"/>
      <c r="Q8" s="22"/>
      <c r="R8" s="22"/>
      <c r="S8" s="22"/>
      <c r="T8" s="22"/>
      <c r="U8" s="22"/>
      <c r="V8" s="22"/>
      <c r="W8" s="19"/>
      <c r="Y8" s="19"/>
    </row>
    <row r="9" spans="1:25" ht="13.5" customHeight="1" x14ac:dyDescent="0.2">
      <c r="A9" s="1">
        <v>87625498752</v>
      </c>
      <c r="B9" s="1" t="s">
        <v>220</v>
      </c>
      <c r="C9" s="1" t="s">
        <v>20</v>
      </c>
      <c r="D9" s="17" t="s">
        <v>25</v>
      </c>
      <c r="E9" s="17" t="s">
        <v>221</v>
      </c>
      <c r="F9" s="1">
        <v>71542033</v>
      </c>
      <c r="G9" s="2" t="s">
        <v>77</v>
      </c>
      <c r="H9" s="1" t="s">
        <v>21</v>
      </c>
      <c r="I9" s="1" t="s">
        <v>222</v>
      </c>
      <c r="J9" s="14">
        <v>31935</v>
      </c>
      <c r="K9" s="2" t="s">
        <v>22</v>
      </c>
      <c r="L9" s="1" t="s">
        <v>23</v>
      </c>
      <c r="M9" s="2" t="s">
        <v>78</v>
      </c>
      <c r="N9" s="2" t="s">
        <v>131</v>
      </c>
      <c r="O9" s="1" t="s">
        <v>497</v>
      </c>
      <c r="P9" s="1" t="s">
        <v>24</v>
      </c>
      <c r="Q9" s="1" t="s">
        <v>772</v>
      </c>
      <c r="R9" s="1" t="s">
        <v>43</v>
      </c>
      <c r="S9" s="1" t="s">
        <v>44</v>
      </c>
      <c r="W9" s="19"/>
      <c r="X9" s="18" t="str">
        <f>IF(D9="0001","3rd Party","")</f>
        <v>3rd Party</v>
      </c>
      <c r="Y9" s="19"/>
    </row>
    <row r="10" spans="1:25" ht="13.5" customHeight="1" x14ac:dyDescent="0.2">
      <c r="A10" s="1">
        <v>87625498752</v>
      </c>
      <c r="B10" s="1" t="s">
        <v>220</v>
      </c>
      <c r="C10" s="1" t="s">
        <v>20</v>
      </c>
      <c r="D10" s="17" t="s">
        <v>25</v>
      </c>
      <c r="E10" s="17" t="s">
        <v>221</v>
      </c>
      <c r="F10" s="1">
        <v>79473840</v>
      </c>
      <c r="G10" s="2" t="s">
        <v>77</v>
      </c>
      <c r="H10" s="1" t="s">
        <v>21</v>
      </c>
      <c r="I10" s="1" t="s">
        <v>223</v>
      </c>
      <c r="J10" s="14">
        <v>-20858</v>
      </c>
      <c r="K10" s="2" t="s">
        <v>22</v>
      </c>
      <c r="L10" s="1" t="s">
        <v>23</v>
      </c>
      <c r="M10" s="2" t="s">
        <v>78</v>
      </c>
      <c r="N10" s="2" t="s">
        <v>83</v>
      </c>
      <c r="O10" s="1" t="s">
        <v>498</v>
      </c>
      <c r="P10" s="1" t="s">
        <v>24</v>
      </c>
      <c r="Q10" s="1" t="s">
        <v>772</v>
      </c>
      <c r="R10" s="1" t="s">
        <v>43</v>
      </c>
      <c r="S10" s="1" t="s">
        <v>44</v>
      </c>
      <c r="W10" s="19"/>
      <c r="X10" s="18" t="str">
        <f t="shared" ref="X10:X73" si="0">IF(D10="0001","3rd Party","")</f>
        <v>3rd Party</v>
      </c>
      <c r="Y10" s="19"/>
    </row>
    <row r="11" spans="1:25" ht="13.5" customHeight="1" x14ac:dyDescent="0.2">
      <c r="A11" s="1">
        <v>87625498752</v>
      </c>
      <c r="B11" s="1" t="s">
        <v>220</v>
      </c>
      <c r="C11" s="1" t="s">
        <v>20</v>
      </c>
      <c r="D11" s="17" t="s">
        <v>25</v>
      </c>
      <c r="E11" s="17" t="s">
        <v>221</v>
      </c>
      <c r="F11" s="1">
        <v>52229374</v>
      </c>
      <c r="G11" s="2" t="s">
        <v>77</v>
      </c>
      <c r="H11" s="1" t="s">
        <v>21</v>
      </c>
      <c r="I11" s="1" t="s">
        <v>224</v>
      </c>
      <c r="J11" s="14">
        <v>-11938</v>
      </c>
      <c r="K11" s="2" t="s">
        <v>22</v>
      </c>
      <c r="L11" s="1" t="s">
        <v>23</v>
      </c>
      <c r="M11" s="2" t="s">
        <v>78</v>
      </c>
      <c r="N11" s="2" t="s">
        <v>132</v>
      </c>
      <c r="O11" s="1" t="s">
        <v>499</v>
      </c>
      <c r="P11" s="1" t="s">
        <v>24</v>
      </c>
      <c r="Q11" s="1" t="s">
        <v>772</v>
      </c>
      <c r="R11" s="1" t="s">
        <v>43</v>
      </c>
      <c r="S11" s="1" t="s">
        <v>44</v>
      </c>
      <c r="W11" s="19"/>
      <c r="X11" s="18" t="str">
        <f t="shared" si="0"/>
        <v>3rd Party</v>
      </c>
      <c r="Y11" s="19"/>
    </row>
    <row r="12" spans="1:25" ht="13.5" customHeight="1" x14ac:dyDescent="0.2">
      <c r="A12" s="1">
        <v>87625498752</v>
      </c>
      <c r="B12" s="1" t="s">
        <v>220</v>
      </c>
      <c r="C12" s="1" t="s">
        <v>20</v>
      </c>
      <c r="D12" s="17" t="s">
        <v>25</v>
      </c>
      <c r="E12" s="17" t="s">
        <v>221</v>
      </c>
      <c r="F12" s="1">
        <v>84552782</v>
      </c>
      <c r="G12" s="2" t="s">
        <v>77</v>
      </c>
      <c r="H12" s="1" t="s">
        <v>21</v>
      </c>
      <c r="I12" s="1" t="s">
        <v>225</v>
      </c>
      <c r="J12" s="14">
        <v>25553</v>
      </c>
      <c r="K12" s="2" t="s">
        <v>22</v>
      </c>
      <c r="L12" s="1" t="s">
        <v>23</v>
      </c>
      <c r="M12" s="2" t="s">
        <v>78</v>
      </c>
      <c r="N12" s="2" t="s">
        <v>75</v>
      </c>
      <c r="O12" s="1" t="s">
        <v>500</v>
      </c>
      <c r="P12" s="1" t="s">
        <v>24</v>
      </c>
      <c r="Q12" s="1" t="s">
        <v>772</v>
      </c>
      <c r="R12" s="1" t="s">
        <v>43</v>
      </c>
      <c r="S12" s="1" t="s">
        <v>44</v>
      </c>
      <c r="W12" s="19"/>
      <c r="X12" s="18" t="str">
        <f t="shared" si="0"/>
        <v>3rd Party</v>
      </c>
      <c r="Y12" s="19"/>
    </row>
    <row r="13" spans="1:25" ht="13.5" customHeight="1" x14ac:dyDescent="0.2">
      <c r="A13" s="1">
        <v>87625498752</v>
      </c>
      <c r="B13" s="1" t="s">
        <v>220</v>
      </c>
      <c r="C13" s="1" t="s">
        <v>20</v>
      </c>
      <c r="D13" s="17" t="s">
        <v>25</v>
      </c>
      <c r="E13" s="17" t="s">
        <v>221</v>
      </c>
      <c r="F13" s="1">
        <v>81060210</v>
      </c>
      <c r="G13" s="2" t="s">
        <v>77</v>
      </c>
      <c r="H13" s="1" t="s">
        <v>21</v>
      </c>
      <c r="I13" s="1" t="s">
        <v>226</v>
      </c>
      <c r="J13" s="14">
        <v>-19207</v>
      </c>
      <c r="K13" s="2" t="s">
        <v>22</v>
      </c>
      <c r="L13" s="1" t="s">
        <v>23</v>
      </c>
      <c r="M13" s="2" t="s">
        <v>78</v>
      </c>
      <c r="N13" s="2" t="s">
        <v>59</v>
      </c>
      <c r="O13" s="1" t="s">
        <v>501</v>
      </c>
      <c r="P13" s="1" t="s">
        <v>24</v>
      </c>
      <c r="Q13" s="1" t="s">
        <v>772</v>
      </c>
      <c r="R13" s="1" t="s">
        <v>43</v>
      </c>
      <c r="S13" s="1" t="s">
        <v>44</v>
      </c>
      <c r="W13" s="19"/>
      <c r="X13" s="18" t="str">
        <f t="shared" si="0"/>
        <v>3rd Party</v>
      </c>
      <c r="Y13" s="19"/>
    </row>
    <row r="14" spans="1:25" ht="13.5" customHeight="1" x14ac:dyDescent="0.2">
      <c r="A14" s="1">
        <v>87625498752</v>
      </c>
      <c r="B14" s="1" t="s">
        <v>220</v>
      </c>
      <c r="C14" s="1" t="s">
        <v>20</v>
      </c>
      <c r="D14" s="17" t="s">
        <v>25</v>
      </c>
      <c r="E14" s="17" t="s">
        <v>221</v>
      </c>
      <c r="F14" s="1">
        <v>70410573</v>
      </c>
      <c r="G14" s="2" t="s">
        <v>77</v>
      </c>
      <c r="H14" s="1" t="s">
        <v>21</v>
      </c>
      <c r="I14" s="1" t="s">
        <v>227</v>
      </c>
      <c r="J14" s="14">
        <v>-27264</v>
      </c>
      <c r="K14" s="2" t="s">
        <v>22</v>
      </c>
      <c r="L14" s="1" t="s">
        <v>23</v>
      </c>
      <c r="M14" s="2" t="s">
        <v>80</v>
      </c>
      <c r="N14" s="2" t="s">
        <v>133</v>
      </c>
      <c r="O14" s="1" t="s">
        <v>502</v>
      </c>
      <c r="P14" s="1" t="s">
        <v>24</v>
      </c>
      <c r="Q14" s="1" t="s">
        <v>772</v>
      </c>
      <c r="R14" s="1" t="s">
        <v>43</v>
      </c>
      <c r="S14" s="1" t="s">
        <v>44</v>
      </c>
      <c r="W14" s="19"/>
      <c r="X14" s="18" t="str">
        <f t="shared" si="0"/>
        <v>3rd Party</v>
      </c>
      <c r="Y14" s="19"/>
    </row>
    <row r="15" spans="1:25" ht="13.5" customHeight="1" x14ac:dyDescent="0.2">
      <c r="A15" s="1">
        <v>87625498752</v>
      </c>
      <c r="B15" s="1" t="s">
        <v>220</v>
      </c>
      <c r="C15" s="1" t="s">
        <v>20</v>
      </c>
      <c r="D15" s="17" t="s">
        <v>25</v>
      </c>
      <c r="E15" s="17" t="s">
        <v>221</v>
      </c>
      <c r="F15" s="1">
        <v>44515910</v>
      </c>
      <c r="G15" s="2" t="s">
        <v>77</v>
      </c>
      <c r="H15" s="1" t="s">
        <v>21</v>
      </c>
      <c r="I15" s="1" t="s">
        <v>228</v>
      </c>
      <c r="J15" s="14">
        <v>-37924</v>
      </c>
      <c r="K15" s="2" t="s">
        <v>22</v>
      </c>
      <c r="L15" s="1" t="s">
        <v>23</v>
      </c>
      <c r="M15" s="2" t="s">
        <v>80</v>
      </c>
      <c r="N15" s="2" t="s">
        <v>134</v>
      </c>
      <c r="O15" s="1" t="s">
        <v>503</v>
      </c>
      <c r="P15" s="1" t="s">
        <v>24</v>
      </c>
      <c r="Q15" s="1" t="s">
        <v>772</v>
      </c>
      <c r="R15" s="1" t="s">
        <v>43</v>
      </c>
      <c r="S15" s="1" t="s">
        <v>44</v>
      </c>
      <c r="W15" s="19"/>
      <c r="X15" s="18" t="str">
        <f t="shared" si="0"/>
        <v>3rd Party</v>
      </c>
      <c r="Y15" s="19"/>
    </row>
    <row r="16" spans="1:25" ht="13.5" customHeight="1" x14ac:dyDescent="0.2">
      <c r="A16" s="1">
        <v>87625498752</v>
      </c>
      <c r="B16" s="1" t="s">
        <v>220</v>
      </c>
      <c r="C16" s="1" t="s">
        <v>20</v>
      </c>
      <c r="D16" s="17" t="s">
        <v>25</v>
      </c>
      <c r="E16" s="17" t="s">
        <v>221</v>
      </c>
      <c r="F16" s="1">
        <v>36993672</v>
      </c>
      <c r="G16" s="2" t="s">
        <v>77</v>
      </c>
      <c r="H16" s="1" t="s">
        <v>21</v>
      </c>
      <c r="I16" s="1" t="s">
        <v>229</v>
      </c>
      <c r="J16" s="14">
        <v>23458</v>
      </c>
      <c r="K16" s="2" t="s">
        <v>22</v>
      </c>
      <c r="L16" s="1" t="s">
        <v>23</v>
      </c>
      <c r="M16" s="2" t="s">
        <v>80</v>
      </c>
      <c r="N16" s="2" t="s">
        <v>74</v>
      </c>
      <c r="O16" s="1" t="s">
        <v>504</v>
      </c>
      <c r="P16" s="1" t="s">
        <v>24</v>
      </c>
      <c r="Q16" s="1" t="s">
        <v>772</v>
      </c>
      <c r="R16" s="1" t="s">
        <v>43</v>
      </c>
      <c r="S16" s="1" t="s">
        <v>44</v>
      </c>
      <c r="W16" s="19"/>
      <c r="X16" s="18" t="str">
        <f t="shared" si="0"/>
        <v>3rd Party</v>
      </c>
      <c r="Y16" s="19"/>
    </row>
    <row r="17" spans="1:25" ht="13.5" customHeight="1" x14ac:dyDescent="0.2">
      <c r="A17" s="1">
        <v>87625498752</v>
      </c>
      <c r="B17" s="1" t="s">
        <v>220</v>
      </c>
      <c r="C17" s="1" t="s">
        <v>20</v>
      </c>
      <c r="D17" s="17" t="s">
        <v>25</v>
      </c>
      <c r="E17" s="17" t="s">
        <v>221</v>
      </c>
      <c r="F17" s="1">
        <v>26062449</v>
      </c>
      <c r="G17" s="2" t="s">
        <v>77</v>
      </c>
      <c r="H17" s="1" t="s">
        <v>21</v>
      </c>
      <c r="I17" s="1" t="s">
        <v>230</v>
      </c>
      <c r="J17" s="14">
        <v>32565</v>
      </c>
      <c r="K17" s="2" t="s">
        <v>22</v>
      </c>
      <c r="L17" s="1" t="s">
        <v>23</v>
      </c>
      <c r="M17" s="2" t="s">
        <v>80</v>
      </c>
      <c r="N17" s="2" t="s">
        <v>135</v>
      </c>
      <c r="O17" s="1" t="s">
        <v>505</v>
      </c>
      <c r="P17" s="1" t="s">
        <v>24</v>
      </c>
      <c r="Q17" s="1" t="s">
        <v>772</v>
      </c>
      <c r="R17" s="1" t="s">
        <v>43</v>
      </c>
      <c r="S17" s="1" t="s">
        <v>44</v>
      </c>
      <c r="W17" s="19"/>
      <c r="X17" s="18" t="str">
        <f t="shared" si="0"/>
        <v>3rd Party</v>
      </c>
      <c r="Y17" s="19"/>
    </row>
    <row r="18" spans="1:25" ht="13.5" customHeight="1" x14ac:dyDescent="0.2">
      <c r="A18" s="1">
        <v>87625498752</v>
      </c>
      <c r="B18" s="1" t="s">
        <v>220</v>
      </c>
      <c r="C18" s="1" t="s">
        <v>20</v>
      </c>
      <c r="D18" s="17" t="s">
        <v>25</v>
      </c>
      <c r="E18" s="17" t="s">
        <v>221</v>
      </c>
      <c r="F18" s="1">
        <v>52229127</v>
      </c>
      <c r="G18" s="2" t="s">
        <v>77</v>
      </c>
      <c r="H18" s="1" t="s">
        <v>21</v>
      </c>
      <c r="I18" s="1" t="s">
        <v>231</v>
      </c>
      <c r="J18" s="14">
        <v>-41544</v>
      </c>
      <c r="K18" s="2" t="s">
        <v>22</v>
      </c>
      <c r="L18" s="1" t="s">
        <v>23</v>
      </c>
      <c r="M18" s="2" t="s">
        <v>80</v>
      </c>
      <c r="N18" s="2" t="s">
        <v>136</v>
      </c>
      <c r="O18" s="1" t="s">
        <v>506</v>
      </c>
      <c r="P18" s="1" t="s">
        <v>24</v>
      </c>
      <c r="Q18" s="1" t="s">
        <v>772</v>
      </c>
      <c r="R18" s="1" t="s">
        <v>43</v>
      </c>
      <c r="S18" s="1" t="s">
        <v>44</v>
      </c>
      <c r="W18" s="19"/>
      <c r="X18" s="18" t="str">
        <f t="shared" si="0"/>
        <v>3rd Party</v>
      </c>
      <c r="Y18" s="19"/>
    </row>
    <row r="19" spans="1:25" ht="13.5" customHeight="1" x14ac:dyDescent="0.2">
      <c r="A19" s="1">
        <v>87625498752</v>
      </c>
      <c r="B19" s="1" t="s">
        <v>220</v>
      </c>
      <c r="C19" s="1" t="s">
        <v>20</v>
      </c>
      <c r="D19" s="17" t="s">
        <v>25</v>
      </c>
      <c r="E19" s="17" t="s">
        <v>221</v>
      </c>
      <c r="F19" s="1">
        <v>13950935</v>
      </c>
      <c r="G19" s="2" t="s">
        <v>77</v>
      </c>
      <c r="H19" s="1" t="s">
        <v>21</v>
      </c>
      <c r="I19" s="1" t="s">
        <v>232</v>
      </c>
      <c r="J19" s="14">
        <v>49890</v>
      </c>
      <c r="K19" s="2" t="s">
        <v>22</v>
      </c>
      <c r="L19" s="1" t="s">
        <v>23</v>
      </c>
      <c r="M19" s="2" t="s">
        <v>80</v>
      </c>
      <c r="N19" s="2" t="s">
        <v>137</v>
      </c>
      <c r="O19" s="1" t="s">
        <v>507</v>
      </c>
      <c r="P19" s="1" t="s">
        <v>24</v>
      </c>
      <c r="Q19" s="1" t="s">
        <v>772</v>
      </c>
      <c r="R19" s="1" t="s">
        <v>43</v>
      </c>
      <c r="S19" s="1" t="s">
        <v>44</v>
      </c>
      <c r="W19" s="19"/>
      <c r="X19" s="18" t="str">
        <f t="shared" si="0"/>
        <v>3rd Party</v>
      </c>
      <c r="Y19" s="19"/>
    </row>
    <row r="20" spans="1:25" ht="13.5" customHeight="1" x14ac:dyDescent="0.2">
      <c r="A20" s="1">
        <v>87625498752</v>
      </c>
      <c r="B20" s="1" t="s">
        <v>220</v>
      </c>
      <c r="C20" s="1" t="s">
        <v>20</v>
      </c>
      <c r="D20" s="17" t="s">
        <v>25</v>
      </c>
      <c r="E20" s="17" t="s">
        <v>221</v>
      </c>
      <c r="F20" s="1">
        <v>53802084</v>
      </c>
      <c r="G20" s="2" t="s">
        <v>77</v>
      </c>
      <c r="H20" s="1" t="s">
        <v>21</v>
      </c>
      <c r="I20" s="1" t="s">
        <v>233</v>
      </c>
      <c r="J20" s="14">
        <v>14096</v>
      </c>
      <c r="K20" s="2" t="s">
        <v>22</v>
      </c>
      <c r="L20" s="1" t="s">
        <v>23</v>
      </c>
      <c r="M20" s="2" t="s">
        <v>80</v>
      </c>
      <c r="N20" s="2" t="s">
        <v>138</v>
      </c>
      <c r="O20" s="1" t="s">
        <v>508</v>
      </c>
      <c r="P20" s="1" t="s">
        <v>24</v>
      </c>
      <c r="Q20" s="1" t="s">
        <v>772</v>
      </c>
      <c r="R20" s="1" t="s">
        <v>43</v>
      </c>
      <c r="S20" s="1" t="s">
        <v>44</v>
      </c>
      <c r="W20" s="19"/>
      <c r="X20" s="18" t="str">
        <f t="shared" si="0"/>
        <v>3rd Party</v>
      </c>
      <c r="Y20" s="19"/>
    </row>
    <row r="21" spans="1:25" ht="13.5" customHeight="1" x14ac:dyDescent="0.2">
      <c r="A21" s="1">
        <v>87625498752</v>
      </c>
      <c r="B21" s="1" t="s">
        <v>220</v>
      </c>
      <c r="C21" s="1" t="s">
        <v>20</v>
      </c>
      <c r="D21" s="17" t="s">
        <v>25</v>
      </c>
      <c r="E21" s="17" t="s">
        <v>221</v>
      </c>
      <c r="F21" s="1">
        <v>83886716</v>
      </c>
      <c r="G21" s="2" t="s">
        <v>77</v>
      </c>
      <c r="H21" s="1" t="s">
        <v>21</v>
      </c>
      <c r="I21" s="1" t="s">
        <v>234</v>
      </c>
      <c r="J21" s="14">
        <v>19195</v>
      </c>
      <c r="K21" s="2" t="s">
        <v>22</v>
      </c>
      <c r="L21" s="1" t="s">
        <v>23</v>
      </c>
      <c r="M21" s="2" t="s">
        <v>80</v>
      </c>
      <c r="N21" s="2" t="s">
        <v>139</v>
      </c>
      <c r="O21" s="1" t="s">
        <v>509</v>
      </c>
      <c r="P21" s="1" t="s">
        <v>24</v>
      </c>
      <c r="Q21" s="1" t="s">
        <v>772</v>
      </c>
      <c r="R21" s="1" t="s">
        <v>43</v>
      </c>
      <c r="S21" s="1" t="s">
        <v>44</v>
      </c>
      <c r="W21" s="19"/>
      <c r="X21" s="18" t="str">
        <f t="shared" si="0"/>
        <v>3rd Party</v>
      </c>
      <c r="Y21" s="19"/>
    </row>
    <row r="22" spans="1:25" ht="13.5" customHeight="1" x14ac:dyDescent="0.2">
      <c r="A22" s="1">
        <v>87625498752</v>
      </c>
      <c r="B22" s="1" t="s">
        <v>220</v>
      </c>
      <c r="C22" s="1" t="s">
        <v>20</v>
      </c>
      <c r="D22" s="17" t="s">
        <v>25</v>
      </c>
      <c r="E22" s="17" t="s">
        <v>221</v>
      </c>
      <c r="F22" s="1">
        <v>68392161</v>
      </c>
      <c r="G22" s="2" t="s">
        <v>77</v>
      </c>
      <c r="H22" s="1" t="s">
        <v>21</v>
      </c>
      <c r="I22" s="1" t="s">
        <v>235</v>
      </c>
      <c r="J22" s="14">
        <v>45000</v>
      </c>
      <c r="K22" s="2" t="s">
        <v>22</v>
      </c>
      <c r="L22" s="1" t="s">
        <v>23</v>
      </c>
      <c r="M22" s="2" t="s">
        <v>80</v>
      </c>
      <c r="N22" s="2" t="s">
        <v>140</v>
      </c>
      <c r="O22" s="1" t="s">
        <v>510</v>
      </c>
      <c r="P22" s="1" t="s">
        <v>24</v>
      </c>
      <c r="Q22" s="1" t="s">
        <v>772</v>
      </c>
      <c r="R22" s="1" t="s">
        <v>43</v>
      </c>
      <c r="S22" s="1" t="s">
        <v>44</v>
      </c>
      <c r="W22" s="19"/>
      <c r="X22" s="18" t="str">
        <f t="shared" si="0"/>
        <v>3rd Party</v>
      </c>
      <c r="Y22" s="19"/>
    </row>
    <row r="23" spans="1:25" ht="13.5" customHeight="1" x14ac:dyDescent="0.2">
      <c r="A23" s="1">
        <v>87625498752</v>
      </c>
      <c r="B23" s="1" t="s">
        <v>220</v>
      </c>
      <c r="C23" s="1" t="s">
        <v>20</v>
      </c>
      <c r="D23" s="17" t="s">
        <v>25</v>
      </c>
      <c r="E23" s="17" t="s">
        <v>221</v>
      </c>
      <c r="F23" s="1">
        <v>66912363</v>
      </c>
      <c r="G23" s="2" t="s">
        <v>77</v>
      </c>
      <c r="H23" s="1" t="s">
        <v>21</v>
      </c>
      <c r="I23" s="1" t="s">
        <v>236</v>
      </c>
      <c r="J23" s="14">
        <v>27644</v>
      </c>
      <c r="K23" s="2" t="s">
        <v>22</v>
      </c>
      <c r="L23" s="1" t="s">
        <v>23</v>
      </c>
      <c r="M23" s="2" t="s">
        <v>80</v>
      </c>
      <c r="N23" s="2" t="s">
        <v>141</v>
      </c>
      <c r="O23" s="1" t="s">
        <v>511</v>
      </c>
      <c r="P23" s="1" t="s">
        <v>24</v>
      </c>
      <c r="Q23" s="1" t="s">
        <v>772</v>
      </c>
      <c r="R23" s="1" t="s">
        <v>43</v>
      </c>
      <c r="S23" s="1" t="s">
        <v>44</v>
      </c>
      <c r="W23" s="19"/>
      <c r="X23" s="18" t="str">
        <f t="shared" si="0"/>
        <v>3rd Party</v>
      </c>
      <c r="Y23" s="19"/>
    </row>
    <row r="24" spans="1:25" ht="13.5" customHeight="1" x14ac:dyDescent="0.2">
      <c r="A24" s="1">
        <v>87625498752</v>
      </c>
      <c r="B24" s="1" t="s">
        <v>220</v>
      </c>
      <c r="C24" s="1" t="s">
        <v>20</v>
      </c>
      <c r="D24" s="17" t="s">
        <v>25</v>
      </c>
      <c r="E24" s="17" t="s">
        <v>221</v>
      </c>
      <c r="F24" s="1">
        <v>98265571</v>
      </c>
      <c r="G24" s="2" t="s">
        <v>77</v>
      </c>
      <c r="H24" s="1" t="s">
        <v>21</v>
      </c>
      <c r="I24" s="1" t="s">
        <v>237</v>
      </c>
      <c r="J24" s="14">
        <v>-46454</v>
      </c>
      <c r="K24" s="2" t="s">
        <v>22</v>
      </c>
      <c r="L24" s="1" t="s">
        <v>23</v>
      </c>
      <c r="M24" s="2" t="s">
        <v>80</v>
      </c>
      <c r="N24" s="2" t="s">
        <v>142</v>
      </c>
      <c r="O24" s="1" t="s">
        <v>512</v>
      </c>
      <c r="P24" s="1" t="s">
        <v>24</v>
      </c>
      <c r="Q24" s="1" t="s">
        <v>772</v>
      </c>
      <c r="R24" s="1" t="s">
        <v>43</v>
      </c>
      <c r="S24" s="1" t="s">
        <v>44</v>
      </c>
      <c r="W24" s="19"/>
      <c r="X24" s="18" t="str">
        <f t="shared" si="0"/>
        <v>3rd Party</v>
      </c>
      <c r="Y24" s="19"/>
    </row>
    <row r="25" spans="1:25" ht="13.5" customHeight="1" x14ac:dyDescent="0.2">
      <c r="A25" s="1">
        <v>87625498752</v>
      </c>
      <c r="B25" s="1" t="s">
        <v>220</v>
      </c>
      <c r="C25" s="1" t="s">
        <v>20</v>
      </c>
      <c r="D25" s="17" t="s">
        <v>25</v>
      </c>
      <c r="E25" s="17" t="s">
        <v>221</v>
      </c>
      <c r="F25" s="1">
        <v>73442366</v>
      </c>
      <c r="G25" s="2" t="s">
        <v>77</v>
      </c>
      <c r="H25" s="1" t="s">
        <v>21</v>
      </c>
      <c r="I25" s="1" t="s">
        <v>238</v>
      </c>
      <c r="J25" s="14">
        <v>-41444</v>
      </c>
      <c r="K25" s="2" t="s">
        <v>22</v>
      </c>
      <c r="L25" s="1" t="s">
        <v>23</v>
      </c>
      <c r="M25" s="2" t="s">
        <v>80</v>
      </c>
      <c r="N25" s="2" t="s">
        <v>48</v>
      </c>
      <c r="O25" s="1" t="s">
        <v>513</v>
      </c>
      <c r="P25" s="1" t="s">
        <v>24</v>
      </c>
      <c r="Q25" s="1" t="s">
        <v>772</v>
      </c>
      <c r="R25" s="1" t="s">
        <v>43</v>
      </c>
      <c r="S25" s="1" t="s">
        <v>44</v>
      </c>
      <c r="W25" s="19"/>
      <c r="X25" s="18" t="str">
        <f t="shared" si="0"/>
        <v>3rd Party</v>
      </c>
      <c r="Y25" s="19"/>
    </row>
    <row r="26" spans="1:25" ht="13.5" customHeight="1" x14ac:dyDescent="0.2">
      <c r="A26" s="1">
        <v>87625498752</v>
      </c>
      <c r="B26" s="1" t="s">
        <v>220</v>
      </c>
      <c r="C26" s="1" t="s">
        <v>20</v>
      </c>
      <c r="D26" s="17" t="s">
        <v>25</v>
      </c>
      <c r="E26" s="17" t="s">
        <v>221</v>
      </c>
      <c r="F26" s="1">
        <v>48071542</v>
      </c>
      <c r="G26" s="2" t="s">
        <v>77</v>
      </c>
      <c r="H26" s="1" t="s">
        <v>21</v>
      </c>
      <c r="I26" s="1" t="s">
        <v>239</v>
      </c>
      <c r="J26" s="14">
        <v>39406</v>
      </c>
      <c r="K26" s="2" t="s">
        <v>22</v>
      </c>
      <c r="L26" s="1" t="s">
        <v>23</v>
      </c>
      <c r="M26" s="2" t="s">
        <v>80</v>
      </c>
      <c r="N26" s="2" t="s">
        <v>49</v>
      </c>
      <c r="O26" s="1" t="s">
        <v>514</v>
      </c>
      <c r="P26" s="1" t="s">
        <v>24</v>
      </c>
      <c r="Q26" s="1" t="s">
        <v>772</v>
      </c>
      <c r="R26" s="1" t="s">
        <v>43</v>
      </c>
      <c r="S26" s="1" t="s">
        <v>44</v>
      </c>
      <c r="W26" s="19"/>
      <c r="X26" s="18" t="str">
        <f t="shared" si="0"/>
        <v>3rd Party</v>
      </c>
      <c r="Y26" s="19"/>
    </row>
    <row r="27" spans="1:25" ht="13.5" customHeight="1" x14ac:dyDescent="0.2">
      <c r="A27" s="1">
        <v>87625498752</v>
      </c>
      <c r="B27" s="1" t="s">
        <v>220</v>
      </c>
      <c r="C27" s="1" t="s">
        <v>20</v>
      </c>
      <c r="D27" s="17" t="s">
        <v>25</v>
      </c>
      <c r="E27" s="17" t="s">
        <v>221</v>
      </c>
      <c r="F27" s="1">
        <v>37870056</v>
      </c>
      <c r="G27" s="2" t="s">
        <v>77</v>
      </c>
      <c r="H27" s="1" t="s">
        <v>21</v>
      </c>
      <c r="I27" s="1" t="s">
        <v>240</v>
      </c>
      <c r="J27" s="14">
        <v>-21498</v>
      </c>
      <c r="K27" s="2" t="s">
        <v>22</v>
      </c>
      <c r="L27" s="1" t="s">
        <v>23</v>
      </c>
      <c r="M27" s="2" t="s">
        <v>80</v>
      </c>
      <c r="N27" s="2" t="s">
        <v>143</v>
      </c>
      <c r="O27" s="1" t="s">
        <v>515</v>
      </c>
      <c r="P27" s="1" t="s">
        <v>24</v>
      </c>
      <c r="Q27" s="1" t="s">
        <v>772</v>
      </c>
      <c r="R27" s="1" t="s">
        <v>43</v>
      </c>
      <c r="S27" s="1" t="s">
        <v>44</v>
      </c>
      <c r="W27" s="19"/>
      <c r="X27" s="18" t="str">
        <f t="shared" si="0"/>
        <v>3rd Party</v>
      </c>
      <c r="Y27" s="19"/>
    </row>
    <row r="28" spans="1:25" ht="13.5" customHeight="1" x14ac:dyDescent="0.2">
      <c r="A28" s="1">
        <v>87625498752</v>
      </c>
      <c r="B28" s="1" t="s">
        <v>220</v>
      </c>
      <c r="C28" s="1" t="s">
        <v>20</v>
      </c>
      <c r="D28" s="1">
        <v>1234</v>
      </c>
      <c r="E28" s="17" t="s">
        <v>221</v>
      </c>
      <c r="F28" s="1">
        <v>69728644</v>
      </c>
      <c r="G28" s="2" t="s">
        <v>77</v>
      </c>
      <c r="H28" s="1" t="s">
        <v>21</v>
      </c>
      <c r="I28" s="1" t="s">
        <v>241</v>
      </c>
      <c r="J28" s="14">
        <v>-31130</v>
      </c>
      <c r="K28" s="2" t="s">
        <v>22</v>
      </c>
      <c r="L28" s="1" t="s">
        <v>23</v>
      </c>
      <c r="M28" s="2" t="s">
        <v>80</v>
      </c>
      <c r="N28" s="2" t="s">
        <v>144</v>
      </c>
      <c r="O28" s="1" t="s">
        <v>516</v>
      </c>
      <c r="P28" s="1" t="s">
        <v>24</v>
      </c>
      <c r="Q28" s="1" t="s">
        <v>772</v>
      </c>
      <c r="R28" s="1" t="s">
        <v>43</v>
      </c>
      <c r="S28" s="1" t="s">
        <v>44</v>
      </c>
      <c r="W28" s="19"/>
      <c r="X28" s="18" t="str">
        <f t="shared" si="0"/>
        <v/>
      </c>
      <c r="Y28" s="19"/>
    </row>
    <row r="29" spans="1:25" ht="13.5" customHeight="1" x14ac:dyDescent="0.2">
      <c r="A29" s="1">
        <v>87625498752</v>
      </c>
      <c r="B29" s="1" t="s">
        <v>220</v>
      </c>
      <c r="C29" s="1" t="s">
        <v>20</v>
      </c>
      <c r="D29" s="1">
        <v>1234</v>
      </c>
      <c r="E29" s="17" t="s">
        <v>221</v>
      </c>
      <c r="F29" s="1">
        <v>70026861</v>
      </c>
      <c r="G29" s="2" t="s">
        <v>77</v>
      </c>
      <c r="H29" s="1" t="s">
        <v>21</v>
      </c>
      <c r="I29" s="1" t="s">
        <v>242</v>
      </c>
      <c r="J29" s="14">
        <v>-610</v>
      </c>
      <c r="K29" s="2" t="s">
        <v>22</v>
      </c>
      <c r="L29" s="1" t="s">
        <v>23</v>
      </c>
      <c r="M29" s="2" t="s">
        <v>80</v>
      </c>
      <c r="N29" s="2" t="s">
        <v>144</v>
      </c>
      <c r="O29" s="1" t="s">
        <v>517</v>
      </c>
      <c r="P29" s="1" t="s">
        <v>24</v>
      </c>
      <c r="Q29" s="1" t="s">
        <v>772</v>
      </c>
      <c r="R29" s="1" t="s">
        <v>43</v>
      </c>
      <c r="S29" s="1" t="s">
        <v>44</v>
      </c>
      <c r="W29" s="19"/>
      <c r="X29" s="18" t="str">
        <f t="shared" si="0"/>
        <v/>
      </c>
      <c r="Y29" s="19"/>
    </row>
    <row r="30" spans="1:25" ht="13.5" customHeight="1" x14ac:dyDescent="0.2">
      <c r="A30" s="1">
        <v>87625498752</v>
      </c>
      <c r="B30" s="1" t="s">
        <v>220</v>
      </c>
      <c r="C30" s="1" t="s">
        <v>20</v>
      </c>
      <c r="D30" s="1">
        <v>1234</v>
      </c>
      <c r="E30" s="17" t="s">
        <v>221</v>
      </c>
      <c r="F30" s="1">
        <v>69949619</v>
      </c>
      <c r="G30" s="2" t="s">
        <v>77</v>
      </c>
      <c r="H30" s="1" t="s">
        <v>21</v>
      </c>
      <c r="I30" s="1" t="s">
        <v>243</v>
      </c>
      <c r="J30" s="14">
        <v>22483</v>
      </c>
      <c r="K30" s="2" t="s">
        <v>22</v>
      </c>
      <c r="L30" s="1" t="s">
        <v>23</v>
      </c>
      <c r="M30" s="2" t="s">
        <v>80</v>
      </c>
      <c r="N30" s="2" t="s">
        <v>145</v>
      </c>
      <c r="O30" s="1" t="s">
        <v>518</v>
      </c>
      <c r="P30" s="1" t="s">
        <v>24</v>
      </c>
      <c r="Q30" s="1" t="s">
        <v>772</v>
      </c>
      <c r="R30" s="1" t="s">
        <v>43</v>
      </c>
      <c r="S30" s="1" t="s">
        <v>44</v>
      </c>
      <c r="W30" s="19"/>
      <c r="X30" s="18" t="str">
        <f t="shared" si="0"/>
        <v/>
      </c>
      <c r="Y30" s="19"/>
    </row>
    <row r="31" spans="1:25" ht="13.5" customHeight="1" x14ac:dyDescent="0.2">
      <c r="A31" s="1">
        <v>87625498752</v>
      </c>
      <c r="B31" s="1" t="s">
        <v>220</v>
      </c>
      <c r="C31" s="1" t="s">
        <v>20</v>
      </c>
      <c r="D31" s="1">
        <v>1234</v>
      </c>
      <c r="E31" s="17" t="s">
        <v>221</v>
      </c>
      <c r="F31" s="1">
        <v>45283529</v>
      </c>
      <c r="G31" s="2" t="s">
        <v>77</v>
      </c>
      <c r="H31" s="1" t="s">
        <v>21</v>
      </c>
      <c r="I31" s="1" t="s">
        <v>244</v>
      </c>
      <c r="J31" s="14">
        <v>31668</v>
      </c>
      <c r="K31" s="2" t="s">
        <v>22</v>
      </c>
      <c r="L31" s="1" t="s">
        <v>23</v>
      </c>
      <c r="M31" s="2" t="s">
        <v>80</v>
      </c>
      <c r="N31" s="2" t="s">
        <v>129</v>
      </c>
      <c r="O31" s="1" t="s">
        <v>519</v>
      </c>
      <c r="P31" s="1" t="s">
        <v>24</v>
      </c>
      <c r="Q31" s="1" t="s">
        <v>772</v>
      </c>
      <c r="R31" s="1" t="s">
        <v>43</v>
      </c>
      <c r="S31" s="1" t="s">
        <v>44</v>
      </c>
      <c r="W31" s="19"/>
      <c r="X31" s="18" t="str">
        <f t="shared" si="0"/>
        <v/>
      </c>
      <c r="Y31" s="19"/>
    </row>
    <row r="32" spans="1:25" ht="13.5" customHeight="1" x14ac:dyDescent="0.2">
      <c r="A32" s="1">
        <v>87625498752</v>
      </c>
      <c r="B32" s="1" t="s">
        <v>220</v>
      </c>
      <c r="C32" s="1" t="s">
        <v>20</v>
      </c>
      <c r="D32" s="1">
        <v>1234</v>
      </c>
      <c r="E32" s="17" t="s">
        <v>221</v>
      </c>
      <c r="F32" s="1">
        <v>98635213</v>
      </c>
      <c r="G32" s="2" t="s">
        <v>77</v>
      </c>
      <c r="H32" s="1" t="s">
        <v>21</v>
      </c>
      <c r="I32" s="1" t="s">
        <v>245</v>
      </c>
      <c r="J32" s="14">
        <v>-31211</v>
      </c>
      <c r="K32" s="2" t="s">
        <v>22</v>
      </c>
      <c r="L32" s="1" t="s">
        <v>23</v>
      </c>
      <c r="M32" s="2" t="s">
        <v>80</v>
      </c>
      <c r="N32" s="2" t="s">
        <v>81</v>
      </c>
      <c r="O32" s="1" t="s">
        <v>520</v>
      </c>
      <c r="P32" s="1" t="s">
        <v>24</v>
      </c>
      <c r="Q32" s="1" t="s">
        <v>772</v>
      </c>
      <c r="R32" s="1" t="s">
        <v>43</v>
      </c>
      <c r="S32" s="1" t="s">
        <v>44</v>
      </c>
      <c r="W32" s="19"/>
      <c r="X32" s="18" t="str">
        <f t="shared" si="0"/>
        <v/>
      </c>
      <c r="Y32" s="19"/>
    </row>
    <row r="33" spans="1:25" ht="13.5" customHeight="1" x14ac:dyDescent="0.2">
      <c r="A33" s="1">
        <v>87625498752</v>
      </c>
      <c r="B33" s="1" t="s">
        <v>220</v>
      </c>
      <c r="C33" s="1" t="s">
        <v>20</v>
      </c>
      <c r="D33" s="1">
        <v>1234</v>
      </c>
      <c r="E33" s="17" t="s">
        <v>221</v>
      </c>
      <c r="F33" s="1">
        <v>41276398</v>
      </c>
      <c r="G33" s="2" t="s">
        <v>77</v>
      </c>
      <c r="H33" s="1" t="s">
        <v>21</v>
      </c>
      <c r="I33" s="1" t="s">
        <v>246</v>
      </c>
      <c r="J33" s="14">
        <v>-30173</v>
      </c>
      <c r="K33" s="2" t="s">
        <v>22</v>
      </c>
      <c r="L33" s="1" t="s">
        <v>23</v>
      </c>
      <c r="M33" s="2" t="s">
        <v>80</v>
      </c>
      <c r="N33" s="2" t="s">
        <v>52</v>
      </c>
      <c r="O33" s="1" t="s">
        <v>521</v>
      </c>
      <c r="P33" s="1" t="s">
        <v>24</v>
      </c>
      <c r="Q33" s="1" t="s">
        <v>772</v>
      </c>
      <c r="R33" s="1" t="s">
        <v>43</v>
      </c>
      <c r="S33" s="1" t="s">
        <v>44</v>
      </c>
      <c r="W33" s="19"/>
      <c r="X33" s="18" t="str">
        <f t="shared" si="0"/>
        <v/>
      </c>
      <c r="Y33" s="19"/>
    </row>
    <row r="34" spans="1:25" ht="13.5" customHeight="1" x14ac:dyDescent="0.2">
      <c r="A34" s="1">
        <v>87625498752</v>
      </c>
      <c r="B34" s="1" t="s">
        <v>220</v>
      </c>
      <c r="C34" s="1" t="s">
        <v>20</v>
      </c>
      <c r="D34" s="1">
        <v>1234</v>
      </c>
      <c r="E34" s="17" t="s">
        <v>221</v>
      </c>
      <c r="F34" s="1">
        <v>84908480</v>
      </c>
      <c r="G34" s="2" t="s">
        <v>77</v>
      </c>
      <c r="H34" s="1" t="s">
        <v>21</v>
      </c>
      <c r="I34" s="1" t="s">
        <v>247</v>
      </c>
      <c r="J34" s="14">
        <v>-8289</v>
      </c>
      <c r="K34" s="2" t="s">
        <v>22</v>
      </c>
      <c r="L34" s="1" t="s">
        <v>23</v>
      </c>
      <c r="M34" s="2" t="s">
        <v>80</v>
      </c>
      <c r="N34" s="2" t="s">
        <v>146</v>
      </c>
      <c r="O34" s="1" t="s">
        <v>522</v>
      </c>
      <c r="P34" s="1" t="s">
        <v>24</v>
      </c>
      <c r="Q34" s="1" t="s">
        <v>772</v>
      </c>
      <c r="R34" s="1" t="s">
        <v>43</v>
      </c>
      <c r="S34" s="1" t="s">
        <v>44</v>
      </c>
      <c r="W34" s="19"/>
      <c r="X34" s="18" t="str">
        <f t="shared" si="0"/>
        <v/>
      </c>
      <c r="Y34" s="19"/>
    </row>
    <row r="35" spans="1:25" ht="13.5" customHeight="1" x14ac:dyDescent="0.2">
      <c r="A35" s="1">
        <v>87625498752</v>
      </c>
      <c r="B35" s="1" t="s">
        <v>220</v>
      </c>
      <c r="C35" s="1" t="s">
        <v>20</v>
      </c>
      <c r="D35" s="1">
        <v>1234</v>
      </c>
      <c r="E35" s="17" t="s">
        <v>221</v>
      </c>
      <c r="F35" s="1">
        <v>32329981</v>
      </c>
      <c r="G35" s="2" t="s">
        <v>77</v>
      </c>
      <c r="H35" s="1" t="s">
        <v>21</v>
      </c>
      <c r="I35" s="1" t="s">
        <v>248</v>
      </c>
      <c r="J35" s="14">
        <v>18566</v>
      </c>
      <c r="K35" s="2" t="s">
        <v>22</v>
      </c>
      <c r="L35" s="1" t="s">
        <v>23</v>
      </c>
      <c r="M35" s="2" t="s">
        <v>80</v>
      </c>
      <c r="N35" s="2" t="s">
        <v>99</v>
      </c>
      <c r="O35" s="1" t="s">
        <v>523</v>
      </c>
      <c r="P35" s="1" t="s">
        <v>24</v>
      </c>
      <c r="Q35" s="1" t="s">
        <v>772</v>
      </c>
      <c r="R35" s="1" t="s">
        <v>43</v>
      </c>
      <c r="S35" s="1" t="s">
        <v>44</v>
      </c>
      <c r="W35" s="19"/>
      <c r="X35" s="18" t="str">
        <f t="shared" si="0"/>
        <v/>
      </c>
      <c r="Y35" s="19"/>
    </row>
    <row r="36" spans="1:25" ht="13.5" customHeight="1" x14ac:dyDescent="0.2">
      <c r="A36" s="1">
        <v>87625498752</v>
      </c>
      <c r="B36" s="1" t="s">
        <v>220</v>
      </c>
      <c r="C36" s="1" t="s">
        <v>20</v>
      </c>
      <c r="D36" s="1">
        <v>1234</v>
      </c>
      <c r="E36" s="17" t="s">
        <v>221</v>
      </c>
      <c r="F36" s="1">
        <v>51965563</v>
      </c>
      <c r="G36" s="2" t="s">
        <v>77</v>
      </c>
      <c r="H36" s="1" t="s">
        <v>21</v>
      </c>
      <c r="I36" s="1" t="s">
        <v>249</v>
      </c>
      <c r="J36" s="14">
        <v>2917</v>
      </c>
      <c r="K36" s="2" t="s">
        <v>22</v>
      </c>
      <c r="L36" s="1" t="s">
        <v>23</v>
      </c>
      <c r="M36" s="2" t="s">
        <v>80</v>
      </c>
      <c r="N36" s="2" t="s">
        <v>147</v>
      </c>
      <c r="O36" s="1" t="s">
        <v>524</v>
      </c>
      <c r="P36" s="1" t="s">
        <v>24</v>
      </c>
      <c r="Q36" s="1" t="s">
        <v>772</v>
      </c>
      <c r="R36" s="1" t="s">
        <v>43</v>
      </c>
      <c r="S36" s="1" t="s">
        <v>44</v>
      </c>
      <c r="W36" s="19"/>
      <c r="X36" s="18" t="str">
        <f t="shared" si="0"/>
        <v/>
      </c>
      <c r="Y36" s="19"/>
    </row>
    <row r="37" spans="1:25" ht="13.5" customHeight="1" x14ac:dyDescent="0.2">
      <c r="A37" s="1">
        <v>87625498752</v>
      </c>
      <c r="B37" s="1" t="s">
        <v>220</v>
      </c>
      <c r="C37" s="1" t="s">
        <v>20</v>
      </c>
      <c r="D37" s="1">
        <v>1234</v>
      </c>
      <c r="E37" s="17" t="s">
        <v>221</v>
      </c>
      <c r="F37" s="1">
        <v>55183558</v>
      </c>
      <c r="G37" s="2" t="s">
        <v>77</v>
      </c>
      <c r="H37" s="1" t="s">
        <v>21</v>
      </c>
      <c r="I37" s="1" t="s">
        <v>250</v>
      </c>
      <c r="J37" s="14">
        <v>12674</v>
      </c>
      <c r="K37" s="2" t="s">
        <v>22</v>
      </c>
      <c r="L37" s="1" t="s">
        <v>23</v>
      </c>
      <c r="M37" s="2" t="s">
        <v>80</v>
      </c>
      <c r="N37" s="2" t="s">
        <v>84</v>
      </c>
      <c r="O37" s="1" t="s">
        <v>525</v>
      </c>
      <c r="P37" s="1" t="s">
        <v>24</v>
      </c>
      <c r="Q37" s="1" t="s">
        <v>772</v>
      </c>
      <c r="R37" s="1" t="s">
        <v>43</v>
      </c>
      <c r="S37" s="1" t="s">
        <v>44</v>
      </c>
      <c r="W37" s="19"/>
      <c r="X37" s="18" t="str">
        <f t="shared" si="0"/>
        <v/>
      </c>
      <c r="Y37" s="19"/>
    </row>
    <row r="38" spans="1:25" ht="13.5" customHeight="1" x14ac:dyDescent="0.2">
      <c r="A38" s="1">
        <v>87625498752</v>
      </c>
      <c r="B38" s="1" t="s">
        <v>220</v>
      </c>
      <c r="C38" s="1" t="s">
        <v>20</v>
      </c>
      <c r="D38" s="1">
        <v>1234</v>
      </c>
      <c r="E38" s="17" t="s">
        <v>221</v>
      </c>
      <c r="F38" s="1">
        <v>63418737</v>
      </c>
      <c r="G38" s="2" t="s">
        <v>77</v>
      </c>
      <c r="H38" s="1" t="s">
        <v>21</v>
      </c>
      <c r="I38" s="1" t="s">
        <v>251</v>
      </c>
      <c r="J38" s="14">
        <v>-23733</v>
      </c>
      <c r="K38" s="2" t="s">
        <v>22</v>
      </c>
      <c r="L38" s="1" t="s">
        <v>23</v>
      </c>
      <c r="M38" s="2" t="s">
        <v>80</v>
      </c>
      <c r="N38" s="2" t="s">
        <v>84</v>
      </c>
      <c r="O38" s="1" t="s">
        <v>526</v>
      </c>
      <c r="P38" s="1" t="s">
        <v>24</v>
      </c>
      <c r="Q38" s="1" t="s">
        <v>772</v>
      </c>
      <c r="R38" s="1" t="s">
        <v>43</v>
      </c>
      <c r="S38" s="1" t="s">
        <v>44</v>
      </c>
      <c r="W38" s="19"/>
      <c r="X38" s="18" t="str">
        <f t="shared" si="0"/>
        <v/>
      </c>
      <c r="Y38" s="19"/>
    </row>
    <row r="39" spans="1:25" ht="13.5" customHeight="1" x14ac:dyDescent="0.2">
      <c r="A39" s="1">
        <v>87625498752</v>
      </c>
      <c r="B39" s="1" t="s">
        <v>220</v>
      </c>
      <c r="C39" s="1" t="s">
        <v>20</v>
      </c>
      <c r="D39" s="1">
        <v>1234</v>
      </c>
      <c r="E39" s="17" t="s">
        <v>221</v>
      </c>
      <c r="F39" s="1">
        <v>93904646</v>
      </c>
      <c r="G39" s="2" t="s">
        <v>77</v>
      </c>
      <c r="H39" s="1" t="s">
        <v>21</v>
      </c>
      <c r="I39" s="1" t="s">
        <v>252</v>
      </c>
      <c r="J39" s="14">
        <v>6382</v>
      </c>
      <c r="K39" s="2" t="s">
        <v>22</v>
      </c>
      <c r="L39" s="1" t="s">
        <v>23</v>
      </c>
      <c r="M39" s="2" t="s">
        <v>80</v>
      </c>
      <c r="N39" s="2" t="s">
        <v>148</v>
      </c>
      <c r="O39" s="1" t="s">
        <v>527</v>
      </c>
      <c r="P39" s="1" t="s">
        <v>24</v>
      </c>
      <c r="Q39" s="1" t="s">
        <v>772</v>
      </c>
      <c r="R39" s="1" t="s">
        <v>43</v>
      </c>
      <c r="S39" s="1" t="s">
        <v>44</v>
      </c>
      <c r="W39" s="19"/>
      <c r="X39" s="18" t="str">
        <f t="shared" si="0"/>
        <v/>
      </c>
      <c r="Y39" s="19"/>
    </row>
    <row r="40" spans="1:25" ht="13.5" customHeight="1" x14ac:dyDescent="0.2">
      <c r="A40" s="1">
        <v>87625498752</v>
      </c>
      <c r="B40" s="1" t="s">
        <v>220</v>
      </c>
      <c r="C40" s="1" t="s">
        <v>20</v>
      </c>
      <c r="D40" s="1">
        <v>1234</v>
      </c>
      <c r="E40" s="17" t="s">
        <v>221</v>
      </c>
      <c r="F40" s="1">
        <v>41630845</v>
      </c>
      <c r="G40" s="2" t="s">
        <v>77</v>
      </c>
      <c r="H40" s="1" t="s">
        <v>21</v>
      </c>
      <c r="I40" s="1" t="s">
        <v>253</v>
      </c>
      <c r="J40" s="14">
        <v>-6325</v>
      </c>
      <c r="K40" s="2" t="s">
        <v>22</v>
      </c>
      <c r="L40" s="1" t="s">
        <v>23</v>
      </c>
      <c r="M40" s="2" t="s">
        <v>80</v>
      </c>
      <c r="N40" s="2" t="s">
        <v>149</v>
      </c>
      <c r="O40" s="1" t="s">
        <v>528</v>
      </c>
      <c r="P40" s="1" t="s">
        <v>24</v>
      </c>
      <c r="Q40" s="1" t="s">
        <v>772</v>
      </c>
      <c r="R40" s="1" t="s">
        <v>43</v>
      </c>
      <c r="S40" s="1" t="s">
        <v>44</v>
      </c>
      <c r="W40" s="19"/>
      <c r="X40" s="18" t="str">
        <f t="shared" si="0"/>
        <v/>
      </c>
      <c r="Y40" s="19"/>
    </row>
    <row r="41" spans="1:25" ht="13.5" customHeight="1" x14ac:dyDescent="0.2">
      <c r="A41" s="1">
        <v>87625498752</v>
      </c>
      <c r="B41" s="1" t="s">
        <v>220</v>
      </c>
      <c r="C41" s="1" t="s">
        <v>20</v>
      </c>
      <c r="D41" s="1">
        <v>1234</v>
      </c>
      <c r="E41" s="17" t="s">
        <v>221</v>
      </c>
      <c r="F41" s="1">
        <v>97335865</v>
      </c>
      <c r="G41" s="2" t="s">
        <v>77</v>
      </c>
      <c r="H41" s="1" t="s">
        <v>21</v>
      </c>
      <c r="I41" s="1" t="s">
        <v>254</v>
      </c>
      <c r="J41" s="14">
        <v>-43969</v>
      </c>
      <c r="K41" s="2" t="s">
        <v>22</v>
      </c>
      <c r="L41" s="1" t="s">
        <v>23</v>
      </c>
      <c r="M41" s="2" t="s">
        <v>80</v>
      </c>
      <c r="N41" s="2" t="s">
        <v>149</v>
      </c>
      <c r="O41" s="1" t="s">
        <v>529</v>
      </c>
      <c r="P41" s="1" t="s">
        <v>24</v>
      </c>
      <c r="Q41" s="1" t="s">
        <v>772</v>
      </c>
      <c r="R41" s="1" t="s">
        <v>43</v>
      </c>
      <c r="S41" s="1" t="s">
        <v>44</v>
      </c>
      <c r="W41" s="19"/>
      <c r="X41" s="18" t="str">
        <f t="shared" si="0"/>
        <v/>
      </c>
      <c r="Y41" s="19"/>
    </row>
    <row r="42" spans="1:25" ht="13.5" customHeight="1" x14ac:dyDescent="0.2">
      <c r="A42" s="1">
        <v>87625498752</v>
      </c>
      <c r="B42" s="1" t="s">
        <v>220</v>
      </c>
      <c r="C42" s="1" t="s">
        <v>20</v>
      </c>
      <c r="D42" s="1">
        <v>1234</v>
      </c>
      <c r="E42" s="17" t="s">
        <v>221</v>
      </c>
      <c r="F42" s="1">
        <v>81521285</v>
      </c>
      <c r="G42" s="2" t="s">
        <v>77</v>
      </c>
      <c r="H42" s="1" t="s">
        <v>21</v>
      </c>
      <c r="I42" s="1" t="s">
        <v>255</v>
      </c>
      <c r="J42" s="14">
        <v>44645</v>
      </c>
      <c r="K42" s="2" t="s">
        <v>22</v>
      </c>
      <c r="L42" s="1" t="s">
        <v>23</v>
      </c>
      <c r="M42" s="2" t="s">
        <v>80</v>
      </c>
      <c r="N42" s="2" t="s">
        <v>85</v>
      </c>
      <c r="O42" s="1" t="s">
        <v>530</v>
      </c>
      <c r="P42" s="1" t="s">
        <v>24</v>
      </c>
      <c r="Q42" s="1" t="s">
        <v>772</v>
      </c>
      <c r="R42" s="1" t="s">
        <v>43</v>
      </c>
      <c r="S42" s="1" t="s">
        <v>44</v>
      </c>
      <c r="W42" s="19"/>
      <c r="X42" s="18" t="str">
        <f t="shared" si="0"/>
        <v/>
      </c>
      <c r="Y42" s="19"/>
    </row>
    <row r="43" spans="1:25" ht="13.5" customHeight="1" x14ac:dyDescent="0.2">
      <c r="A43" s="1">
        <v>87625498752</v>
      </c>
      <c r="B43" s="1" t="s">
        <v>220</v>
      </c>
      <c r="C43" s="1" t="s">
        <v>20</v>
      </c>
      <c r="D43" s="1">
        <v>1234</v>
      </c>
      <c r="E43" s="17" t="s">
        <v>221</v>
      </c>
      <c r="F43" s="1">
        <v>13776377</v>
      </c>
      <c r="G43" s="2" t="s">
        <v>77</v>
      </c>
      <c r="H43" s="1" t="s">
        <v>21</v>
      </c>
      <c r="I43" s="1" t="s">
        <v>256</v>
      </c>
      <c r="J43" s="14">
        <v>35745</v>
      </c>
      <c r="K43" s="2" t="s">
        <v>22</v>
      </c>
      <c r="L43" s="1" t="s">
        <v>23</v>
      </c>
      <c r="M43" s="2" t="s">
        <v>80</v>
      </c>
      <c r="N43" s="2" t="s">
        <v>150</v>
      </c>
      <c r="O43" s="1" t="s">
        <v>531</v>
      </c>
      <c r="P43" s="1" t="s">
        <v>24</v>
      </c>
      <c r="Q43" s="1" t="s">
        <v>772</v>
      </c>
      <c r="R43" s="1" t="s">
        <v>43</v>
      </c>
      <c r="S43" s="1" t="s">
        <v>44</v>
      </c>
      <c r="W43" s="19"/>
      <c r="X43" s="18" t="str">
        <f t="shared" si="0"/>
        <v/>
      </c>
      <c r="Y43" s="19"/>
    </row>
    <row r="44" spans="1:25" ht="13.5" customHeight="1" x14ac:dyDescent="0.2">
      <c r="A44" s="1">
        <v>87625498752</v>
      </c>
      <c r="B44" s="1" t="s">
        <v>220</v>
      </c>
      <c r="C44" s="1" t="s">
        <v>20</v>
      </c>
      <c r="D44" s="1">
        <v>1234</v>
      </c>
      <c r="E44" s="17" t="s">
        <v>221</v>
      </c>
      <c r="F44" s="1">
        <v>88506339</v>
      </c>
      <c r="G44" s="2" t="s">
        <v>77</v>
      </c>
      <c r="H44" s="1" t="s">
        <v>21</v>
      </c>
      <c r="I44" s="1" t="s">
        <v>257</v>
      </c>
      <c r="J44" s="14">
        <v>-21623</v>
      </c>
      <c r="K44" s="2" t="s">
        <v>22</v>
      </c>
      <c r="L44" s="1" t="s">
        <v>23</v>
      </c>
      <c r="M44" s="2" t="s">
        <v>80</v>
      </c>
      <c r="N44" s="2" t="s">
        <v>150</v>
      </c>
      <c r="O44" s="1" t="s">
        <v>532</v>
      </c>
      <c r="P44" s="1" t="s">
        <v>24</v>
      </c>
      <c r="Q44" s="1" t="s">
        <v>772</v>
      </c>
      <c r="R44" s="1" t="s">
        <v>43</v>
      </c>
      <c r="S44" s="1" t="s">
        <v>44</v>
      </c>
      <c r="W44" s="19"/>
      <c r="X44" s="18" t="str">
        <f t="shared" si="0"/>
        <v/>
      </c>
      <c r="Y44" s="19"/>
    </row>
    <row r="45" spans="1:25" ht="13.5" customHeight="1" x14ac:dyDescent="0.2">
      <c r="A45" s="1">
        <v>87625498752</v>
      </c>
      <c r="B45" s="1" t="s">
        <v>220</v>
      </c>
      <c r="C45" s="1" t="s">
        <v>20</v>
      </c>
      <c r="D45" s="1">
        <v>1234</v>
      </c>
      <c r="E45" s="17" t="s">
        <v>221</v>
      </c>
      <c r="F45" s="1">
        <v>62243926</v>
      </c>
      <c r="G45" s="2" t="s">
        <v>77</v>
      </c>
      <c r="H45" s="1" t="s">
        <v>21</v>
      </c>
      <c r="I45" s="1" t="s">
        <v>258</v>
      </c>
      <c r="J45" s="14">
        <v>-13621</v>
      </c>
      <c r="K45" s="2" t="s">
        <v>22</v>
      </c>
      <c r="L45" s="1" t="s">
        <v>23</v>
      </c>
      <c r="M45" s="2" t="s">
        <v>80</v>
      </c>
      <c r="N45" s="2" t="s">
        <v>86</v>
      </c>
      <c r="O45" s="1" t="s">
        <v>533</v>
      </c>
      <c r="P45" s="1" t="s">
        <v>24</v>
      </c>
      <c r="Q45" s="1" t="s">
        <v>772</v>
      </c>
      <c r="R45" s="1" t="s">
        <v>43</v>
      </c>
      <c r="S45" s="1" t="s">
        <v>44</v>
      </c>
      <c r="W45" s="19"/>
      <c r="X45" s="18" t="str">
        <f t="shared" si="0"/>
        <v/>
      </c>
      <c r="Y45" s="19"/>
    </row>
    <row r="46" spans="1:25" ht="13.5" customHeight="1" x14ac:dyDescent="0.2">
      <c r="A46" s="1">
        <v>87625498752</v>
      </c>
      <c r="B46" s="1" t="s">
        <v>220</v>
      </c>
      <c r="C46" s="1" t="s">
        <v>20</v>
      </c>
      <c r="D46" s="1">
        <v>1234</v>
      </c>
      <c r="E46" s="17" t="s">
        <v>221</v>
      </c>
      <c r="F46" s="1">
        <v>65334736</v>
      </c>
      <c r="G46" s="2" t="s">
        <v>77</v>
      </c>
      <c r="H46" s="1" t="s">
        <v>21</v>
      </c>
      <c r="I46" s="1" t="s">
        <v>259</v>
      </c>
      <c r="J46" s="14">
        <v>37480</v>
      </c>
      <c r="K46" s="2" t="s">
        <v>22</v>
      </c>
      <c r="L46" s="1" t="s">
        <v>23</v>
      </c>
      <c r="M46" s="2" t="s">
        <v>80</v>
      </c>
      <c r="N46" s="2" t="s">
        <v>151</v>
      </c>
      <c r="O46" s="1" t="s">
        <v>534</v>
      </c>
      <c r="P46" s="1" t="s">
        <v>24</v>
      </c>
      <c r="Q46" s="1" t="s">
        <v>772</v>
      </c>
      <c r="R46" s="1" t="s">
        <v>43</v>
      </c>
      <c r="S46" s="1" t="s">
        <v>44</v>
      </c>
      <c r="W46" s="19"/>
      <c r="X46" s="18" t="str">
        <f t="shared" si="0"/>
        <v/>
      </c>
      <c r="Y46" s="19"/>
    </row>
    <row r="47" spans="1:25" ht="13.5" customHeight="1" x14ac:dyDescent="0.2">
      <c r="A47" s="1">
        <v>87625498752</v>
      </c>
      <c r="B47" s="1" t="s">
        <v>220</v>
      </c>
      <c r="C47" s="1" t="s">
        <v>20</v>
      </c>
      <c r="D47" s="1">
        <v>1234</v>
      </c>
      <c r="E47" s="17" t="s">
        <v>221</v>
      </c>
      <c r="F47" s="1">
        <v>41442338</v>
      </c>
      <c r="G47" s="2" t="s">
        <v>77</v>
      </c>
      <c r="H47" s="1" t="s">
        <v>21</v>
      </c>
      <c r="I47" s="1" t="s">
        <v>260</v>
      </c>
      <c r="J47" s="14">
        <v>-46806</v>
      </c>
      <c r="K47" s="2" t="s">
        <v>22</v>
      </c>
      <c r="L47" s="1" t="s">
        <v>23</v>
      </c>
      <c r="M47" s="2" t="s">
        <v>80</v>
      </c>
      <c r="N47" s="2" t="s">
        <v>152</v>
      </c>
      <c r="O47" s="1" t="s">
        <v>535</v>
      </c>
      <c r="P47" s="1" t="s">
        <v>24</v>
      </c>
      <c r="Q47" s="1" t="s">
        <v>772</v>
      </c>
      <c r="R47" s="1" t="s">
        <v>43</v>
      </c>
      <c r="S47" s="1" t="s">
        <v>44</v>
      </c>
      <c r="W47" s="19"/>
      <c r="X47" s="18" t="str">
        <f t="shared" si="0"/>
        <v/>
      </c>
      <c r="Y47" s="19"/>
    </row>
    <row r="48" spans="1:25" ht="13.5" customHeight="1" x14ac:dyDescent="0.2">
      <c r="A48" s="1">
        <v>87625498752</v>
      </c>
      <c r="B48" s="1" t="s">
        <v>220</v>
      </c>
      <c r="C48" s="1" t="s">
        <v>20</v>
      </c>
      <c r="D48" s="1">
        <v>1234</v>
      </c>
      <c r="E48" s="17" t="s">
        <v>221</v>
      </c>
      <c r="F48" s="1">
        <v>74888890</v>
      </c>
      <c r="G48" s="2" t="s">
        <v>77</v>
      </c>
      <c r="H48" s="1" t="s">
        <v>21</v>
      </c>
      <c r="I48" s="1" t="s">
        <v>261</v>
      </c>
      <c r="J48" s="14">
        <v>-2034</v>
      </c>
      <c r="K48" s="2" t="s">
        <v>22</v>
      </c>
      <c r="L48" s="1" t="s">
        <v>23</v>
      </c>
      <c r="M48" s="2" t="s">
        <v>80</v>
      </c>
      <c r="N48" s="2" t="s">
        <v>127</v>
      </c>
      <c r="O48" s="1" t="s">
        <v>536</v>
      </c>
      <c r="P48" s="1" t="s">
        <v>24</v>
      </c>
      <c r="Q48" s="1" t="s">
        <v>772</v>
      </c>
      <c r="R48" s="1" t="s">
        <v>43</v>
      </c>
      <c r="S48" s="1" t="s">
        <v>44</v>
      </c>
      <c r="W48" s="19"/>
      <c r="X48" s="18" t="str">
        <f t="shared" si="0"/>
        <v/>
      </c>
      <c r="Y48" s="19"/>
    </row>
    <row r="49" spans="1:25" ht="13.5" customHeight="1" x14ac:dyDescent="0.2">
      <c r="A49" s="1">
        <v>87625498752</v>
      </c>
      <c r="B49" s="1" t="s">
        <v>220</v>
      </c>
      <c r="C49" s="1" t="s">
        <v>20</v>
      </c>
      <c r="D49" s="1">
        <v>1234</v>
      </c>
      <c r="E49" s="17" t="s">
        <v>221</v>
      </c>
      <c r="F49" s="1">
        <v>16815008</v>
      </c>
      <c r="G49" s="2" t="s">
        <v>77</v>
      </c>
      <c r="H49" s="1" t="s">
        <v>21</v>
      </c>
      <c r="I49" s="1" t="s">
        <v>262</v>
      </c>
      <c r="J49" s="14">
        <v>-40091</v>
      </c>
      <c r="K49" s="2" t="s">
        <v>22</v>
      </c>
      <c r="L49" s="1" t="s">
        <v>23</v>
      </c>
      <c r="M49" s="2" t="s">
        <v>80</v>
      </c>
      <c r="N49" s="2" t="s">
        <v>57</v>
      </c>
      <c r="O49" s="1" t="s">
        <v>537</v>
      </c>
      <c r="P49" s="1" t="s">
        <v>24</v>
      </c>
      <c r="Q49" s="1" t="s">
        <v>772</v>
      </c>
      <c r="R49" s="1" t="s">
        <v>43</v>
      </c>
      <c r="S49" s="1" t="s">
        <v>44</v>
      </c>
      <c r="W49" s="19"/>
      <c r="X49" s="18" t="str">
        <f t="shared" si="0"/>
        <v/>
      </c>
      <c r="Y49" s="19"/>
    </row>
    <row r="50" spans="1:25" ht="13.5" customHeight="1" x14ac:dyDescent="0.2">
      <c r="A50" s="1">
        <v>87625498752</v>
      </c>
      <c r="B50" s="1" t="s">
        <v>220</v>
      </c>
      <c r="C50" s="1" t="s">
        <v>20</v>
      </c>
      <c r="D50" s="1">
        <v>1234</v>
      </c>
      <c r="E50" s="17" t="s">
        <v>221</v>
      </c>
      <c r="F50" s="1">
        <v>67330509</v>
      </c>
      <c r="G50" s="2" t="s">
        <v>77</v>
      </c>
      <c r="H50" s="1" t="s">
        <v>21</v>
      </c>
      <c r="I50" s="1" t="s">
        <v>263</v>
      </c>
      <c r="J50" s="14">
        <v>-27980</v>
      </c>
      <c r="K50" s="2" t="s">
        <v>22</v>
      </c>
      <c r="L50" s="1" t="s">
        <v>23</v>
      </c>
      <c r="M50" s="2" t="s">
        <v>80</v>
      </c>
      <c r="N50" s="2" t="s">
        <v>153</v>
      </c>
      <c r="O50" s="1" t="s">
        <v>538</v>
      </c>
      <c r="P50" s="1" t="s">
        <v>24</v>
      </c>
      <c r="Q50" s="1" t="s">
        <v>772</v>
      </c>
      <c r="R50" s="1" t="s">
        <v>43</v>
      </c>
      <c r="S50" s="1" t="s">
        <v>44</v>
      </c>
      <c r="W50" s="19"/>
      <c r="X50" s="18" t="str">
        <f t="shared" si="0"/>
        <v/>
      </c>
      <c r="Y50" s="19"/>
    </row>
    <row r="51" spans="1:25" ht="13.5" customHeight="1" x14ac:dyDescent="0.2">
      <c r="A51" s="1">
        <v>87625498752</v>
      </c>
      <c r="B51" s="1" t="s">
        <v>220</v>
      </c>
      <c r="C51" s="1" t="s">
        <v>20</v>
      </c>
      <c r="D51" s="1">
        <v>1234</v>
      </c>
      <c r="E51" s="17" t="s">
        <v>221</v>
      </c>
      <c r="F51" s="1">
        <v>52782764</v>
      </c>
      <c r="G51" s="2" t="s">
        <v>77</v>
      </c>
      <c r="H51" s="1" t="s">
        <v>21</v>
      </c>
      <c r="I51" s="1" t="s">
        <v>264</v>
      </c>
      <c r="J51" s="14">
        <v>6337</v>
      </c>
      <c r="K51" s="2" t="s">
        <v>22</v>
      </c>
      <c r="L51" s="1" t="s">
        <v>23</v>
      </c>
      <c r="M51" s="2" t="s">
        <v>80</v>
      </c>
      <c r="N51" s="2" t="s">
        <v>87</v>
      </c>
      <c r="O51" s="1" t="s">
        <v>539</v>
      </c>
      <c r="P51" s="1" t="s">
        <v>24</v>
      </c>
      <c r="Q51" s="1" t="s">
        <v>772</v>
      </c>
      <c r="R51" s="1" t="s">
        <v>43</v>
      </c>
      <c r="S51" s="1" t="s">
        <v>44</v>
      </c>
      <c r="W51" s="19"/>
      <c r="X51" s="18" t="str">
        <f t="shared" si="0"/>
        <v/>
      </c>
      <c r="Y51" s="19"/>
    </row>
    <row r="52" spans="1:25" ht="13.5" customHeight="1" x14ac:dyDescent="0.2">
      <c r="A52" s="1">
        <v>87625498752</v>
      </c>
      <c r="B52" s="1" t="s">
        <v>220</v>
      </c>
      <c r="C52" s="1" t="s">
        <v>20</v>
      </c>
      <c r="D52" s="1">
        <v>1234</v>
      </c>
      <c r="E52" s="17" t="s">
        <v>221</v>
      </c>
      <c r="F52" s="1">
        <v>91617233</v>
      </c>
      <c r="G52" s="2" t="s">
        <v>77</v>
      </c>
      <c r="H52" s="1" t="s">
        <v>21</v>
      </c>
      <c r="I52" s="1" t="s">
        <v>265</v>
      </c>
      <c r="J52" s="14">
        <v>5858</v>
      </c>
      <c r="K52" s="2" t="s">
        <v>22</v>
      </c>
      <c r="L52" s="1" t="s">
        <v>23</v>
      </c>
      <c r="M52" s="2" t="s">
        <v>80</v>
      </c>
      <c r="N52" s="2" t="s">
        <v>154</v>
      </c>
      <c r="O52" s="1" t="s">
        <v>540</v>
      </c>
      <c r="P52" s="1" t="s">
        <v>24</v>
      </c>
      <c r="Q52" s="1" t="s">
        <v>772</v>
      </c>
      <c r="R52" s="1" t="s">
        <v>43</v>
      </c>
      <c r="S52" s="1" t="s">
        <v>44</v>
      </c>
      <c r="W52" s="19"/>
      <c r="X52" s="18" t="str">
        <f t="shared" si="0"/>
        <v/>
      </c>
      <c r="Y52" s="19"/>
    </row>
    <row r="53" spans="1:25" ht="13.5" customHeight="1" x14ac:dyDescent="0.2">
      <c r="A53" s="1">
        <v>87625498752</v>
      </c>
      <c r="B53" s="1" t="s">
        <v>220</v>
      </c>
      <c r="C53" s="1" t="s">
        <v>20</v>
      </c>
      <c r="D53" s="1">
        <v>1234</v>
      </c>
      <c r="E53" s="17" t="s">
        <v>221</v>
      </c>
      <c r="F53" s="1">
        <v>24492857</v>
      </c>
      <c r="G53" s="2" t="s">
        <v>77</v>
      </c>
      <c r="H53" s="1" t="s">
        <v>21</v>
      </c>
      <c r="I53" s="1" t="s">
        <v>266</v>
      </c>
      <c r="J53" s="14">
        <v>11280</v>
      </c>
      <c r="K53" s="2" t="s">
        <v>22</v>
      </c>
      <c r="L53" s="1" t="s">
        <v>23</v>
      </c>
      <c r="M53" s="2" t="s">
        <v>80</v>
      </c>
      <c r="N53" s="2" t="s">
        <v>68</v>
      </c>
      <c r="O53" s="1" t="s">
        <v>541</v>
      </c>
      <c r="P53" s="1" t="s">
        <v>24</v>
      </c>
      <c r="Q53" s="1" t="s">
        <v>772</v>
      </c>
      <c r="R53" s="1" t="s">
        <v>43</v>
      </c>
      <c r="S53" s="1" t="s">
        <v>44</v>
      </c>
      <c r="W53" s="19"/>
      <c r="X53" s="18" t="str">
        <f t="shared" si="0"/>
        <v/>
      </c>
      <c r="Y53" s="19"/>
    </row>
    <row r="54" spans="1:25" ht="13.5" customHeight="1" x14ac:dyDescent="0.2">
      <c r="A54" s="1">
        <v>87625498752</v>
      </c>
      <c r="B54" s="1" t="s">
        <v>220</v>
      </c>
      <c r="C54" s="1" t="s">
        <v>20</v>
      </c>
      <c r="D54" s="1">
        <v>1234</v>
      </c>
      <c r="E54" s="17" t="s">
        <v>221</v>
      </c>
      <c r="F54" s="1">
        <v>52316411</v>
      </c>
      <c r="G54" s="2" t="s">
        <v>77</v>
      </c>
      <c r="H54" s="1" t="s">
        <v>21</v>
      </c>
      <c r="I54" s="1" t="s">
        <v>267</v>
      </c>
      <c r="J54" s="14">
        <v>-12284</v>
      </c>
      <c r="K54" s="2" t="s">
        <v>22</v>
      </c>
      <c r="L54" s="1" t="s">
        <v>23</v>
      </c>
      <c r="M54" s="2" t="s">
        <v>80</v>
      </c>
      <c r="N54" s="2" t="s">
        <v>61</v>
      </c>
      <c r="O54" s="1" t="s">
        <v>542</v>
      </c>
      <c r="P54" s="1" t="s">
        <v>24</v>
      </c>
      <c r="Q54" s="1" t="s">
        <v>772</v>
      </c>
      <c r="R54" s="1" t="s">
        <v>43</v>
      </c>
      <c r="S54" s="1" t="s">
        <v>44</v>
      </c>
      <c r="W54" s="19"/>
      <c r="X54" s="18" t="str">
        <f t="shared" si="0"/>
        <v/>
      </c>
      <c r="Y54" s="19"/>
    </row>
    <row r="55" spans="1:25" ht="13.5" customHeight="1" x14ac:dyDescent="0.2">
      <c r="A55" s="1">
        <v>87625498752</v>
      </c>
      <c r="B55" s="1" t="s">
        <v>220</v>
      </c>
      <c r="C55" s="1" t="s">
        <v>20</v>
      </c>
      <c r="D55" s="1">
        <v>1234</v>
      </c>
      <c r="E55" s="17" t="s">
        <v>221</v>
      </c>
      <c r="F55" s="1">
        <v>63923876</v>
      </c>
      <c r="G55" s="2" t="s">
        <v>77</v>
      </c>
      <c r="H55" s="1" t="s">
        <v>21</v>
      </c>
      <c r="I55" s="1" t="s">
        <v>268</v>
      </c>
      <c r="J55" s="14">
        <v>-38259</v>
      </c>
      <c r="K55" s="2" t="s">
        <v>22</v>
      </c>
      <c r="L55" s="1" t="s">
        <v>23</v>
      </c>
      <c r="M55" s="2" t="s">
        <v>80</v>
      </c>
      <c r="N55" s="2" t="s">
        <v>72</v>
      </c>
      <c r="O55" s="1" t="s">
        <v>543</v>
      </c>
      <c r="P55" s="1" t="s">
        <v>24</v>
      </c>
      <c r="Q55" s="1" t="s">
        <v>772</v>
      </c>
      <c r="R55" s="1" t="s">
        <v>43</v>
      </c>
      <c r="S55" s="1" t="s">
        <v>44</v>
      </c>
      <c r="W55" s="19"/>
      <c r="X55" s="18" t="str">
        <f t="shared" si="0"/>
        <v/>
      </c>
      <c r="Y55" s="19"/>
    </row>
    <row r="56" spans="1:25" ht="13.5" customHeight="1" x14ac:dyDescent="0.2">
      <c r="A56" s="1">
        <v>87625498752</v>
      </c>
      <c r="B56" s="1" t="s">
        <v>220</v>
      </c>
      <c r="C56" s="1" t="s">
        <v>20</v>
      </c>
      <c r="D56" s="1">
        <v>1234</v>
      </c>
      <c r="E56" s="17" t="s">
        <v>221</v>
      </c>
      <c r="F56" s="1">
        <v>93316532</v>
      </c>
      <c r="G56" s="2" t="s">
        <v>77</v>
      </c>
      <c r="H56" s="1" t="s">
        <v>21</v>
      </c>
      <c r="I56" s="1" t="s">
        <v>269</v>
      </c>
      <c r="J56" s="14">
        <v>-8565</v>
      </c>
      <c r="K56" s="2" t="s">
        <v>22</v>
      </c>
      <c r="L56" s="1" t="s">
        <v>23</v>
      </c>
      <c r="M56" s="2" t="s">
        <v>80</v>
      </c>
      <c r="N56" s="2" t="s">
        <v>69</v>
      </c>
      <c r="O56" s="1" t="s">
        <v>544</v>
      </c>
      <c r="P56" s="1" t="s">
        <v>24</v>
      </c>
      <c r="Q56" s="1" t="s">
        <v>772</v>
      </c>
      <c r="R56" s="1" t="s">
        <v>43</v>
      </c>
      <c r="S56" s="1" t="s">
        <v>44</v>
      </c>
      <c r="W56" s="19"/>
      <c r="X56" s="18" t="str">
        <f t="shared" si="0"/>
        <v/>
      </c>
      <c r="Y56" s="19"/>
    </row>
    <row r="57" spans="1:25" ht="13.5" customHeight="1" x14ac:dyDescent="0.2">
      <c r="A57" s="1">
        <v>87625498752</v>
      </c>
      <c r="B57" s="1" t="s">
        <v>220</v>
      </c>
      <c r="C57" s="1" t="s">
        <v>20</v>
      </c>
      <c r="D57" s="1">
        <v>1234</v>
      </c>
      <c r="E57" s="17" t="s">
        <v>221</v>
      </c>
      <c r="F57" s="1">
        <v>75345332</v>
      </c>
      <c r="G57" s="2" t="s">
        <v>77</v>
      </c>
      <c r="H57" s="1" t="s">
        <v>21</v>
      </c>
      <c r="I57" s="1" t="s">
        <v>270</v>
      </c>
      <c r="J57" s="14">
        <v>-34519</v>
      </c>
      <c r="K57" s="2" t="s">
        <v>22</v>
      </c>
      <c r="L57" s="1" t="s">
        <v>23</v>
      </c>
      <c r="M57" s="2" t="s">
        <v>80</v>
      </c>
      <c r="N57" s="2" t="s">
        <v>92</v>
      </c>
      <c r="O57" s="1" t="s">
        <v>545</v>
      </c>
      <c r="P57" s="1" t="s">
        <v>24</v>
      </c>
      <c r="Q57" s="1" t="s">
        <v>772</v>
      </c>
      <c r="R57" s="1" t="s">
        <v>43</v>
      </c>
      <c r="S57" s="1" t="s">
        <v>44</v>
      </c>
      <c r="W57" s="19"/>
      <c r="X57" s="18" t="str">
        <f t="shared" si="0"/>
        <v/>
      </c>
      <c r="Y57" s="19"/>
    </row>
    <row r="58" spans="1:25" ht="13.5" customHeight="1" x14ac:dyDescent="0.2">
      <c r="A58" s="1">
        <v>87625498752</v>
      </c>
      <c r="B58" s="1" t="s">
        <v>220</v>
      </c>
      <c r="C58" s="1" t="s">
        <v>20</v>
      </c>
      <c r="D58" s="1">
        <v>1234</v>
      </c>
      <c r="E58" s="17" t="s">
        <v>221</v>
      </c>
      <c r="F58" s="1">
        <v>12446455</v>
      </c>
      <c r="G58" s="2" t="s">
        <v>77</v>
      </c>
      <c r="H58" s="1" t="s">
        <v>21</v>
      </c>
      <c r="I58" s="1" t="s">
        <v>271</v>
      </c>
      <c r="J58" s="14">
        <v>-7362</v>
      </c>
      <c r="K58" s="2" t="s">
        <v>22</v>
      </c>
      <c r="L58" s="1" t="s">
        <v>23</v>
      </c>
      <c r="M58" s="2" t="s">
        <v>80</v>
      </c>
      <c r="N58" s="2" t="s">
        <v>155</v>
      </c>
      <c r="O58" s="1" t="s">
        <v>546</v>
      </c>
      <c r="P58" s="1" t="s">
        <v>24</v>
      </c>
      <c r="Q58" s="1" t="s">
        <v>772</v>
      </c>
      <c r="R58" s="1" t="s">
        <v>43</v>
      </c>
      <c r="S58" s="1" t="s">
        <v>44</v>
      </c>
      <c r="W58" s="19"/>
      <c r="X58" s="18" t="str">
        <f t="shared" si="0"/>
        <v/>
      </c>
      <c r="Y58" s="19"/>
    </row>
    <row r="59" spans="1:25" ht="13.5" customHeight="1" x14ac:dyDescent="0.2">
      <c r="A59" s="1">
        <v>87625498752</v>
      </c>
      <c r="B59" s="1" t="s">
        <v>220</v>
      </c>
      <c r="C59" s="1" t="s">
        <v>20</v>
      </c>
      <c r="D59" s="1">
        <v>1234</v>
      </c>
      <c r="E59" s="17" t="s">
        <v>221</v>
      </c>
      <c r="F59" s="1">
        <v>56506724</v>
      </c>
      <c r="G59" s="2" t="s">
        <v>77</v>
      </c>
      <c r="H59" s="1" t="s">
        <v>21</v>
      </c>
      <c r="I59" s="1" t="s">
        <v>272</v>
      </c>
      <c r="J59" s="14">
        <v>7225</v>
      </c>
      <c r="K59" s="2" t="s">
        <v>22</v>
      </c>
      <c r="L59" s="1" t="s">
        <v>23</v>
      </c>
      <c r="M59" s="2" t="s">
        <v>80</v>
      </c>
      <c r="N59" s="2" t="s">
        <v>89</v>
      </c>
      <c r="O59" s="1" t="s">
        <v>547</v>
      </c>
      <c r="P59" s="1" t="s">
        <v>24</v>
      </c>
      <c r="Q59" s="1" t="s">
        <v>772</v>
      </c>
      <c r="R59" s="1" t="s">
        <v>43</v>
      </c>
      <c r="S59" s="1" t="s">
        <v>44</v>
      </c>
      <c r="W59" s="19"/>
      <c r="X59" s="18" t="str">
        <f t="shared" si="0"/>
        <v/>
      </c>
      <c r="Y59" s="19"/>
    </row>
    <row r="60" spans="1:25" ht="13.5" customHeight="1" x14ac:dyDescent="0.2">
      <c r="A60" s="1">
        <v>87625498752</v>
      </c>
      <c r="B60" s="1" t="s">
        <v>220</v>
      </c>
      <c r="C60" s="1" t="s">
        <v>20</v>
      </c>
      <c r="D60" s="1">
        <v>1234</v>
      </c>
      <c r="E60" s="17" t="s">
        <v>221</v>
      </c>
      <c r="F60" s="1">
        <v>37991599</v>
      </c>
      <c r="G60" s="2" t="s">
        <v>77</v>
      </c>
      <c r="H60" s="1" t="s">
        <v>21</v>
      </c>
      <c r="I60" s="1" t="s">
        <v>273</v>
      </c>
      <c r="J60" s="14">
        <v>25641</v>
      </c>
      <c r="K60" s="2" t="s">
        <v>22</v>
      </c>
      <c r="L60" s="1" t="s">
        <v>23</v>
      </c>
      <c r="M60" s="2" t="s">
        <v>80</v>
      </c>
      <c r="N60" s="2" t="s">
        <v>156</v>
      </c>
      <c r="O60" s="1" t="s">
        <v>548</v>
      </c>
      <c r="P60" s="1" t="s">
        <v>24</v>
      </c>
      <c r="Q60" s="1" t="s">
        <v>772</v>
      </c>
      <c r="R60" s="1" t="s">
        <v>43</v>
      </c>
      <c r="S60" s="1" t="s">
        <v>44</v>
      </c>
      <c r="W60" s="19"/>
      <c r="X60" s="18" t="str">
        <f t="shared" si="0"/>
        <v/>
      </c>
      <c r="Y60" s="19"/>
    </row>
    <row r="61" spans="1:25" ht="13.5" customHeight="1" x14ac:dyDescent="0.2">
      <c r="A61" s="1">
        <v>87625498752</v>
      </c>
      <c r="B61" s="1" t="s">
        <v>220</v>
      </c>
      <c r="C61" s="1" t="s">
        <v>20</v>
      </c>
      <c r="D61" s="1">
        <v>1234</v>
      </c>
      <c r="E61" s="17" t="s">
        <v>221</v>
      </c>
      <c r="F61" s="1">
        <v>62727693</v>
      </c>
      <c r="G61" s="2" t="s">
        <v>77</v>
      </c>
      <c r="H61" s="1" t="s">
        <v>21</v>
      </c>
      <c r="I61" s="1" t="s">
        <v>274</v>
      </c>
      <c r="J61" s="14">
        <v>-49298</v>
      </c>
      <c r="K61" s="2" t="s">
        <v>22</v>
      </c>
      <c r="L61" s="1" t="s">
        <v>23</v>
      </c>
      <c r="M61" s="2" t="s">
        <v>80</v>
      </c>
      <c r="N61" s="2" t="s">
        <v>157</v>
      </c>
      <c r="O61" s="1" t="s">
        <v>549</v>
      </c>
      <c r="P61" s="1" t="s">
        <v>24</v>
      </c>
      <c r="Q61" s="1" t="s">
        <v>772</v>
      </c>
      <c r="R61" s="1" t="s">
        <v>43</v>
      </c>
      <c r="S61" s="1" t="s">
        <v>44</v>
      </c>
      <c r="W61" s="19"/>
      <c r="X61" s="18" t="str">
        <f t="shared" si="0"/>
        <v/>
      </c>
      <c r="Y61" s="19"/>
    </row>
    <row r="62" spans="1:25" ht="13.5" customHeight="1" x14ac:dyDescent="0.2">
      <c r="A62" s="1">
        <v>87625498752</v>
      </c>
      <c r="B62" s="1" t="s">
        <v>220</v>
      </c>
      <c r="C62" s="1" t="s">
        <v>20</v>
      </c>
      <c r="D62" s="1">
        <v>1234</v>
      </c>
      <c r="E62" s="17" t="s">
        <v>221</v>
      </c>
      <c r="F62" s="1">
        <v>40241970</v>
      </c>
      <c r="G62" s="2" t="s">
        <v>77</v>
      </c>
      <c r="H62" s="1" t="s">
        <v>21</v>
      </c>
      <c r="I62" s="1" t="s">
        <v>275</v>
      </c>
      <c r="J62" s="14">
        <v>-27781</v>
      </c>
      <c r="K62" s="2" t="s">
        <v>22</v>
      </c>
      <c r="L62" s="1" t="s">
        <v>23</v>
      </c>
      <c r="M62" s="2" t="s">
        <v>80</v>
      </c>
      <c r="N62" s="2" t="s">
        <v>93</v>
      </c>
      <c r="O62" s="1" t="s">
        <v>550</v>
      </c>
      <c r="P62" s="1" t="s">
        <v>24</v>
      </c>
      <c r="Q62" s="1" t="s">
        <v>772</v>
      </c>
      <c r="R62" s="1" t="s">
        <v>43</v>
      </c>
      <c r="S62" s="1" t="s">
        <v>44</v>
      </c>
      <c r="W62" s="19"/>
      <c r="X62" s="18" t="str">
        <f t="shared" si="0"/>
        <v/>
      </c>
      <c r="Y62" s="19"/>
    </row>
    <row r="63" spans="1:25" ht="13.5" customHeight="1" x14ac:dyDescent="0.2">
      <c r="A63" s="1">
        <v>87625498752</v>
      </c>
      <c r="B63" s="1" t="s">
        <v>220</v>
      </c>
      <c r="C63" s="1" t="s">
        <v>20</v>
      </c>
      <c r="D63" s="1">
        <v>1234</v>
      </c>
      <c r="E63" s="17" t="s">
        <v>221</v>
      </c>
      <c r="F63" s="1">
        <v>62385500</v>
      </c>
      <c r="G63" s="2" t="s">
        <v>77</v>
      </c>
      <c r="H63" s="1" t="s">
        <v>21</v>
      </c>
      <c r="I63" s="1" t="s">
        <v>276</v>
      </c>
      <c r="J63" s="14">
        <v>-7077</v>
      </c>
      <c r="K63" s="2" t="s">
        <v>22</v>
      </c>
      <c r="L63" s="1" t="s">
        <v>23</v>
      </c>
      <c r="M63" s="2" t="s">
        <v>80</v>
      </c>
      <c r="N63" s="2" t="s">
        <v>132</v>
      </c>
      <c r="O63" s="1" t="s">
        <v>551</v>
      </c>
      <c r="P63" s="1" t="s">
        <v>24</v>
      </c>
      <c r="Q63" s="1" t="s">
        <v>772</v>
      </c>
      <c r="R63" s="1" t="s">
        <v>43</v>
      </c>
      <c r="S63" s="1" t="s">
        <v>44</v>
      </c>
      <c r="W63" s="19"/>
      <c r="X63" s="18" t="str">
        <f t="shared" si="0"/>
        <v/>
      </c>
      <c r="Y63" s="19"/>
    </row>
    <row r="64" spans="1:25" ht="13.5" customHeight="1" x14ac:dyDescent="0.2">
      <c r="A64" s="1">
        <v>87625498752</v>
      </c>
      <c r="B64" s="1" t="s">
        <v>220</v>
      </c>
      <c r="C64" s="1" t="s">
        <v>20</v>
      </c>
      <c r="D64" s="1">
        <v>1234</v>
      </c>
      <c r="E64" s="17" t="s">
        <v>221</v>
      </c>
      <c r="F64" s="1">
        <v>76864775</v>
      </c>
      <c r="G64" s="2" t="s">
        <v>77</v>
      </c>
      <c r="H64" s="1" t="s">
        <v>21</v>
      </c>
      <c r="I64" s="1" t="s">
        <v>277</v>
      </c>
      <c r="J64" s="14">
        <v>25894</v>
      </c>
      <c r="K64" s="2" t="s">
        <v>22</v>
      </c>
      <c r="L64" s="1" t="s">
        <v>23</v>
      </c>
      <c r="M64" s="2" t="s">
        <v>80</v>
      </c>
      <c r="N64" s="2" t="s">
        <v>64</v>
      </c>
      <c r="O64" s="1" t="s">
        <v>552</v>
      </c>
      <c r="P64" s="1" t="s">
        <v>24</v>
      </c>
      <c r="Q64" s="1" t="s">
        <v>772</v>
      </c>
      <c r="R64" s="1" t="s">
        <v>43</v>
      </c>
      <c r="S64" s="1" t="s">
        <v>44</v>
      </c>
      <c r="W64" s="19"/>
      <c r="X64" s="18" t="str">
        <f t="shared" si="0"/>
        <v/>
      </c>
      <c r="Y64" s="19"/>
    </row>
    <row r="65" spans="1:25" ht="13.5" customHeight="1" x14ac:dyDescent="0.2">
      <c r="A65" s="1">
        <v>87625498752</v>
      </c>
      <c r="B65" s="1" t="s">
        <v>220</v>
      </c>
      <c r="C65" s="1" t="s">
        <v>20</v>
      </c>
      <c r="D65" s="1">
        <v>1234</v>
      </c>
      <c r="E65" s="17" t="s">
        <v>221</v>
      </c>
      <c r="F65" s="1">
        <v>67881809</v>
      </c>
      <c r="G65" s="2" t="s">
        <v>77</v>
      </c>
      <c r="H65" s="1" t="s">
        <v>21</v>
      </c>
      <c r="I65" s="1" t="s">
        <v>278</v>
      </c>
      <c r="J65" s="14">
        <v>10150</v>
      </c>
      <c r="K65" s="2" t="s">
        <v>22</v>
      </c>
      <c r="L65" s="1" t="s">
        <v>23</v>
      </c>
      <c r="M65" s="2" t="s">
        <v>80</v>
      </c>
      <c r="N65" s="2" t="s">
        <v>64</v>
      </c>
      <c r="O65" s="1" t="s">
        <v>553</v>
      </c>
      <c r="P65" s="1" t="s">
        <v>24</v>
      </c>
      <c r="Q65" s="1" t="s">
        <v>772</v>
      </c>
      <c r="R65" s="1" t="s">
        <v>43</v>
      </c>
      <c r="S65" s="1" t="s">
        <v>44</v>
      </c>
      <c r="W65" s="19"/>
      <c r="X65" s="18" t="str">
        <f t="shared" si="0"/>
        <v/>
      </c>
      <c r="Y65" s="19"/>
    </row>
    <row r="66" spans="1:25" ht="13.5" customHeight="1" x14ac:dyDescent="0.2">
      <c r="A66" s="1">
        <v>87625498752</v>
      </c>
      <c r="B66" s="1" t="s">
        <v>220</v>
      </c>
      <c r="C66" s="1" t="s">
        <v>20</v>
      </c>
      <c r="D66" s="1">
        <v>1234</v>
      </c>
      <c r="E66" s="17" t="s">
        <v>221</v>
      </c>
      <c r="F66" s="1">
        <v>32514481</v>
      </c>
      <c r="G66" s="2" t="s">
        <v>77</v>
      </c>
      <c r="H66" s="1" t="s">
        <v>21</v>
      </c>
      <c r="I66" s="1" t="s">
        <v>279</v>
      </c>
      <c r="J66" s="14">
        <v>30290</v>
      </c>
      <c r="K66" s="2" t="s">
        <v>22</v>
      </c>
      <c r="L66" s="1" t="s">
        <v>23</v>
      </c>
      <c r="M66" s="2" t="s">
        <v>80</v>
      </c>
      <c r="N66" s="2" t="s">
        <v>152</v>
      </c>
      <c r="O66" s="1" t="s">
        <v>554</v>
      </c>
      <c r="P66" s="1" t="s">
        <v>24</v>
      </c>
      <c r="Q66" s="1" t="s">
        <v>772</v>
      </c>
      <c r="R66" s="1" t="s">
        <v>43</v>
      </c>
      <c r="S66" s="1" t="s">
        <v>44</v>
      </c>
      <c r="W66" s="19"/>
      <c r="X66" s="18" t="str">
        <f t="shared" si="0"/>
        <v/>
      </c>
      <c r="Y66" s="19"/>
    </row>
    <row r="67" spans="1:25" ht="13.5" customHeight="1" x14ac:dyDescent="0.2">
      <c r="A67" s="1">
        <v>87625498752</v>
      </c>
      <c r="B67" s="1" t="s">
        <v>220</v>
      </c>
      <c r="C67" s="1" t="s">
        <v>20</v>
      </c>
      <c r="D67" s="1">
        <v>1234</v>
      </c>
      <c r="E67" s="17" t="s">
        <v>221</v>
      </c>
      <c r="F67" s="1">
        <v>87662455</v>
      </c>
      <c r="G67" s="2" t="s">
        <v>77</v>
      </c>
      <c r="H67" s="1" t="s">
        <v>21</v>
      </c>
      <c r="I67" s="1" t="s">
        <v>280</v>
      </c>
      <c r="J67" s="14">
        <v>-41248</v>
      </c>
      <c r="K67" s="2" t="s">
        <v>22</v>
      </c>
      <c r="L67" s="1" t="s">
        <v>23</v>
      </c>
      <c r="M67" s="2" t="s">
        <v>80</v>
      </c>
      <c r="N67" s="2" t="s">
        <v>94</v>
      </c>
      <c r="O67" s="1" t="s">
        <v>555</v>
      </c>
      <c r="P67" s="1" t="s">
        <v>24</v>
      </c>
      <c r="Q67" s="1" t="s">
        <v>772</v>
      </c>
      <c r="R67" s="1" t="s">
        <v>43</v>
      </c>
      <c r="S67" s="1" t="s">
        <v>44</v>
      </c>
      <c r="W67" s="19"/>
      <c r="X67" s="18" t="str">
        <f t="shared" si="0"/>
        <v/>
      </c>
      <c r="Y67" s="19"/>
    </row>
    <row r="68" spans="1:25" ht="13.5" customHeight="1" x14ac:dyDescent="0.2">
      <c r="A68" s="1">
        <v>87625498752</v>
      </c>
      <c r="B68" s="1" t="s">
        <v>220</v>
      </c>
      <c r="C68" s="1" t="s">
        <v>20</v>
      </c>
      <c r="D68" s="1">
        <v>1234</v>
      </c>
      <c r="E68" s="17" t="s">
        <v>221</v>
      </c>
      <c r="F68" s="1">
        <v>60568683</v>
      </c>
      <c r="G68" s="2" t="s">
        <v>77</v>
      </c>
      <c r="H68" s="1" t="s">
        <v>21</v>
      </c>
      <c r="I68" s="1" t="s">
        <v>281</v>
      </c>
      <c r="J68" s="14">
        <v>27709</v>
      </c>
      <c r="K68" s="2" t="s">
        <v>22</v>
      </c>
      <c r="L68" s="1" t="s">
        <v>23</v>
      </c>
      <c r="M68" s="2" t="s">
        <v>80</v>
      </c>
      <c r="N68" s="2" t="s">
        <v>90</v>
      </c>
      <c r="O68" s="1" t="s">
        <v>556</v>
      </c>
      <c r="P68" s="1" t="s">
        <v>24</v>
      </c>
      <c r="Q68" s="1" t="s">
        <v>772</v>
      </c>
      <c r="R68" s="1" t="s">
        <v>43</v>
      </c>
      <c r="S68" s="1" t="s">
        <v>44</v>
      </c>
      <c r="W68" s="19"/>
      <c r="X68" s="18" t="str">
        <f t="shared" si="0"/>
        <v/>
      </c>
      <c r="Y68" s="19"/>
    </row>
    <row r="69" spans="1:25" ht="13.5" customHeight="1" x14ac:dyDescent="0.2">
      <c r="A69" s="1">
        <v>87625498752</v>
      </c>
      <c r="B69" s="1" t="s">
        <v>220</v>
      </c>
      <c r="C69" s="1" t="s">
        <v>20</v>
      </c>
      <c r="D69" s="1">
        <v>1234</v>
      </c>
      <c r="E69" s="17" t="s">
        <v>221</v>
      </c>
      <c r="F69" s="1">
        <v>29210037</v>
      </c>
      <c r="G69" s="2" t="s">
        <v>77</v>
      </c>
      <c r="H69" s="1" t="s">
        <v>21</v>
      </c>
      <c r="I69" s="1" t="s">
        <v>282</v>
      </c>
      <c r="J69" s="14">
        <v>-30464</v>
      </c>
      <c r="K69" s="2" t="s">
        <v>22</v>
      </c>
      <c r="L69" s="1" t="s">
        <v>23</v>
      </c>
      <c r="M69" s="2" t="s">
        <v>80</v>
      </c>
      <c r="N69" s="2" t="s">
        <v>90</v>
      </c>
      <c r="O69" s="1" t="s">
        <v>557</v>
      </c>
      <c r="P69" s="1" t="s">
        <v>24</v>
      </c>
      <c r="Q69" s="1" t="s">
        <v>772</v>
      </c>
      <c r="R69" s="1" t="s">
        <v>43</v>
      </c>
      <c r="S69" s="1" t="s">
        <v>44</v>
      </c>
      <c r="W69" s="19"/>
      <c r="X69" s="18" t="str">
        <f t="shared" si="0"/>
        <v/>
      </c>
      <c r="Y69" s="19"/>
    </row>
    <row r="70" spans="1:25" ht="13.5" customHeight="1" x14ac:dyDescent="0.2">
      <c r="A70" s="1">
        <v>87625498752</v>
      </c>
      <c r="B70" s="1" t="s">
        <v>220</v>
      </c>
      <c r="C70" s="1" t="s">
        <v>20</v>
      </c>
      <c r="D70" s="1">
        <v>1234</v>
      </c>
      <c r="E70" s="17" t="s">
        <v>221</v>
      </c>
      <c r="F70" s="1">
        <v>51772806</v>
      </c>
      <c r="G70" s="2" t="s">
        <v>77</v>
      </c>
      <c r="H70" s="1" t="s">
        <v>21</v>
      </c>
      <c r="I70" s="1" t="s">
        <v>283</v>
      </c>
      <c r="J70" s="14">
        <v>26865</v>
      </c>
      <c r="K70" s="2" t="s">
        <v>22</v>
      </c>
      <c r="L70" s="1" t="s">
        <v>23</v>
      </c>
      <c r="M70" s="2" t="s">
        <v>80</v>
      </c>
      <c r="N70" s="2" t="s">
        <v>95</v>
      </c>
      <c r="O70" s="1" t="s">
        <v>558</v>
      </c>
      <c r="P70" s="1" t="s">
        <v>24</v>
      </c>
      <c r="Q70" s="1" t="s">
        <v>772</v>
      </c>
      <c r="R70" s="1" t="s">
        <v>43</v>
      </c>
      <c r="S70" s="1" t="s">
        <v>44</v>
      </c>
      <c r="W70" s="19"/>
      <c r="X70" s="18" t="str">
        <f t="shared" si="0"/>
        <v/>
      </c>
      <c r="Y70" s="19"/>
    </row>
    <row r="71" spans="1:25" ht="13.5" customHeight="1" x14ac:dyDescent="0.2">
      <c r="A71" s="1">
        <v>87625498752</v>
      </c>
      <c r="B71" s="1" t="s">
        <v>220</v>
      </c>
      <c r="C71" s="1" t="s">
        <v>20</v>
      </c>
      <c r="D71" s="1">
        <v>1234</v>
      </c>
      <c r="E71" s="17" t="s">
        <v>221</v>
      </c>
      <c r="F71" s="1">
        <v>54087210</v>
      </c>
      <c r="G71" s="2" t="s">
        <v>77</v>
      </c>
      <c r="H71" s="1" t="s">
        <v>21</v>
      </c>
      <c r="I71" s="1" t="s">
        <v>284</v>
      </c>
      <c r="J71" s="14">
        <v>-43260</v>
      </c>
      <c r="K71" s="2" t="s">
        <v>22</v>
      </c>
      <c r="L71" s="1" t="s">
        <v>23</v>
      </c>
      <c r="M71" s="2" t="s">
        <v>80</v>
      </c>
      <c r="N71" s="2" t="s">
        <v>158</v>
      </c>
      <c r="O71" s="1" t="s">
        <v>559</v>
      </c>
      <c r="P71" s="1" t="s">
        <v>24</v>
      </c>
      <c r="Q71" s="1" t="s">
        <v>772</v>
      </c>
      <c r="R71" s="1" t="s">
        <v>43</v>
      </c>
      <c r="S71" s="1" t="s">
        <v>44</v>
      </c>
      <c r="W71" s="19"/>
      <c r="X71" s="18" t="str">
        <f t="shared" si="0"/>
        <v/>
      </c>
      <c r="Y71" s="19"/>
    </row>
    <row r="72" spans="1:25" ht="13.5" customHeight="1" x14ac:dyDescent="0.2">
      <c r="A72" s="1">
        <v>87625498752</v>
      </c>
      <c r="B72" s="1" t="s">
        <v>220</v>
      </c>
      <c r="C72" s="1" t="s">
        <v>20</v>
      </c>
      <c r="D72" s="1">
        <v>1234</v>
      </c>
      <c r="E72" s="17" t="s">
        <v>221</v>
      </c>
      <c r="F72" s="1">
        <v>67577144</v>
      </c>
      <c r="G72" s="2" t="s">
        <v>77</v>
      </c>
      <c r="H72" s="1" t="s">
        <v>21</v>
      </c>
      <c r="I72" s="1" t="s">
        <v>285</v>
      </c>
      <c r="J72" s="14">
        <v>18231</v>
      </c>
      <c r="K72" s="2" t="s">
        <v>22</v>
      </c>
      <c r="L72" s="1" t="s">
        <v>23</v>
      </c>
      <c r="M72" s="2" t="s">
        <v>80</v>
      </c>
      <c r="N72" s="2" t="s">
        <v>110</v>
      </c>
      <c r="O72" s="1" t="s">
        <v>560</v>
      </c>
      <c r="P72" s="1" t="s">
        <v>24</v>
      </c>
      <c r="Q72" s="1" t="s">
        <v>772</v>
      </c>
      <c r="R72" s="1" t="s">
        <v>43</v>
      </c>
      <c r="S72" s="1" t="s">
        <v>44</v>
      </c>
      <c r="W72" s="19"/>
      <c r="X72" s="18" t="str">
        <f t="shared" si="0"/>
        <v/>
      </c>
      <c r="Y72" s="19"/>
    </row>
    <row r="73" spans="1:25" ht="13.5" customHeight="1" x14ac:dyDescent="0.2">
      <c r="A73" s="1">
        <v>87625498752</v>
      </c>
      <c r="B73" s="1" t="s">
        <v>220</v>
      </c>
      <c r="C73" s="1" t="s">
        <v>20</v>
      </c>
      <c r="D73" s="1">
        <v>1234</v>
      </c>
      <c r="E73" s="17" t="s">
        <v>221</v>
      </c>
      <c r="F73" s="1">
        <v>17523565</v>
      </c>
      <c r="G73" s="2" t="s">
        <v>77</v>
      </c>
      <c r="H73" s="1" t="s">
        <v>21</v>
      </c>
      <c r="I73" s="1" t="s">
        <v>286</v>
      </c>
      <c r="J73" s="14">
        <v>-35359</v>
      </c>
      <c r="K73" s="2" t="s">
        <v>22</v>
      </c>
      <c r="L73" s="1" t="s">
        <v>23</v>
      </c>
      <c r="M73" s="2" t="s">
        <v>80</v>
      </c>
      <c r="N73" s="2" t="s">
        <v>128</v>
      </c>
      <c r="O73" s="1" t="s">
        <v>561</v>
      </c>
      <c r="P73" s="1" t="s">
        <v>24</v>
      </c>
      <c r="Q73" s="1" t="s">
        <v>772</v>
      </c>
      <c r="R73" s="1" t="s">
        <v>43</v>
      </c>
      <c r="S73" s="1" t="s">
        <v>44</v>
      </c>
      <c r="W73" s="19"/>
      <c r="X73" s="18" t="str">
        <f t="shared" si="0"/>
        <v/>
      </c>
      <c r="Y73" s="19"/>
    </row>
    <row r="74" spans="1:25" ht="13.5" customHeight="1" x14ac:dyDescent="0.2">
      <c r="A74" s="1">
        <v>87625498752</v>
      </c>
      <c r="B74" s="1" t="s">
        <v>220</v>
      </c>
      <c r="C74" s="1" t="s">
        <v>20</v>
      </c>
      <c r="D74" s="1">
        <v>1234</v>
      </c>
      <c r="E74" s="17" t="s">
        <v>221</v>
      </c>
      <c r="F74" s="1">
        <v>79546086</v>
      </c>
      <c r="G74" s="2" t="s">
        <v>77</v>
      </c>
      <c r="H74" s="1" t="s">
        <v>21</v>
      </c>
      <c r="I74" s="1" t="s">
        <v>287</v>
      </c>
      <c r="J74" s="14">
        <v>-41993</v>
      </c>
      <c r="K74" s="2" t="s">
        <v>22</v>
      </c>
      <c r="L74" s="1" t="s">
        <v>23</v>
      </c>
      <c r="M74" s="2" t="s">
        <v>80</v>
      </c>
      <c r="N74" s="2" t="s">
        <v>159</v>
      </c>
      <c r="O74" s="1" t="s">
        <v>562</v>
      </c>
      <c r="P74" s="1" t="s">
        <v>24</v>
      </c>
      <c r="Q74" s="1" t="s">
        <v>772</v>
      </c>
      <c r="R74" s="1" t="s">
        <v>43</v>
      </c>
      <c r="S74" s="1" t="s">
        <v>44</v>
      </c>
      <c r="W74" s="19"/>
      <c r="X74" s="18" t="str">
        <f t="shared" ref="X74:X137" si="1">IF(D74="0001","3rd Party","")</f>
        <v/>
      </c>
      <c r="Y74" s="19"/>
    </row>
    <row r="75" spans="1:25" ht="13.5" customHeight="1" x14ac:dyDescent="0.2">
      <c r="A75" s="1">
        <v>87625498752</v>
      </c>
      <c r="B75" s="1" t="s">
        <v>220</v>
      </c>
      <c r="C75" s="1" t="s">
        <v>20</v>
      </c>
      <c r="D75" s="1">
        <v>1234</v>
      </c>
      <c r="E75" s="17" t="s">
        <v>221</v>
      </c>
      <c r="F75" s="1">
        <v>87060600</v>
      </c>
      <c r="G75" s="2" t="s">
        <v>77</v>
      </c>
      <c r="H75" s="1" t="s">
        <v>21</v>
      </c>
      <c r="I75" s="1" t="s">
        <v>288</v>
      </c>
      <c r="J75" s="14">
        <v>12612</v>
      </c>
      <c r="K75" s="2" t="s">
        <v>22</v>
      </c>
      <c r="L75" s="1" t="s">
        <v>23</v>
      </c>
      <c r="M75" s="2" t="s">
        <v>80</v>
      </c>
      <c r="N75" s="2" t="s">
        <v>158</v>
      </c>
      <c r="O75" s="1" t="s">
        <v>563</v>
      </c>
      <c r="P75" s="1" t="s">
        <v>24</v>
      </c>
      <c r="Q75" s="1" t="s">
        <v>772</v>
      </c>
      <c r="R75" s="1" t="s">
        <v>43</v>
      </c>
      <c r="S75" s="1" t="s">
        <v>44</v>
      </c>
      <c r="W75" s="19"/>
      <c r="X75" s="18" t="str">
        <f t="shared" si="1"/>
        <v/>
      </c>
      <c r="Y75" s="19"/>
    </row>
    <row r="76" spans="1:25" ht="13.5" customHeight="1" x14ac:dyDescent="0.2">
      <c r="A76" s="1">
        <v>87625498752</v>
      </c>
      <c r="B76" s="1" t="s">
        <v>220</v>
      </c>
      <c r="C76" s="1" t="s">
        <v>20</v>
      </c>
      <c r="D76" s="1">
        <v>1234</v>
      </c>
      <c r="E76" s="17" t="s">
        <v>221</v>
      </c>
      <c r="F76" s="1">
        <v>84015650</v>
      </c>
      <c r="G76" s="2" t="s">
        <v>77</v>
      </c>
      <c r="H76" s="1" t="s">
        <v>21</v>
      </c>
      <c r="I76" s="1" t="s">
        <v>289</v>
      </c>
      <c r="J76" s="14">
        <v>35174</v>
      </c>
      <c r="K76" s="2" t="s">
        <v>22</v>
      </c>
      <c r="L76" s="1" t="s">
        <v>23</v>
      </c>
      <c r="M76" s="2" t="s">
        <v>80</v>
      </c>
      <c r="N76" s="2" t="s">
        <v>90</v>
      </c>
      <c r="O76" s="1" t="s">
        <v>564</v>
      </c>
      <c r="P76" s="1" t="s">
        <v>24</v>
      </c>
      <c r="Q76" s="1" t="s">
        <v>772</v>
      </c>
      <c r="R76" s="1" t="s">
        <v>43</v>
      </c>
      <c r="S76" s="1" t="s">
        <v>44</v>
      </c>
      <c r="W76" s="19"/>
      <c r="X76" s="18" t="str">
        <f t="shared" si="1"/>
        <v/>
      </c>
      <c r="Y76" s="19"/>
    </row>
    <row r="77" spans="1:25" ht="13.5" customHeight="1" x14ac:dyDescent="0.2">
      <c r="A77" s="1">
        <v>87625498752</v>
      </c>
      <c r="B77" s="1" t="s">
        <v>220</v>
      </c>
      <c r="C77" s="1" t="s">
        <v>20</v>
      </c>
      <c r="D77" s="1">
        <v>1234</v>
      </c>
      <c r="E77" s="17" t="s">
        <v>221</v>
      </c>
      <c r="F77" s="1">
        <v>84558504</v>
      </c>
      <c r="G77" s="2" t="s">
        <v>77</v>
      </c>
      <c r="H77" s="1" t="s">
        <v>21</v>
      </c>
      <c r="I77" s="1" t="s">
        <v>290</v>
      </c>
      <c r="J77" s="14">
        <v>-21279</v>
      </c>
      <c r="K77" s="2" t="s">
        <v>22</v>
      </c>
      <c r="L77" s="1" t="s">
        <v>23</v>
      </c>
      <c r="M77" s="2" t="s">
        <v>80</v>
      </c>
      <c r="N77" s="2" t="s">
        <v>75</v>
      </c>
      <c r="O77" s="1" t="s">
        <v>565</v>
      </c>
      <c r="P77" s="1" t="s">
        <v>24</v>
      </c>
      <c r="Q77" s="1" t="s">
        <v>772</v>
      </c>
      <c r="R77" s="1" t="s">
        <v>43</v>
      </c>
      <c r="S77" s="1" t="s">
        <v>44</v>
      </c>
      <c r="W77" s="19"/>
      <c r="X77" s="18" t="str">
        <f t="shared" si="1"/>
        <v/>
      </c>
      <c r="Y77" s="19"/>
    </row>
    <row r="78" spans="1:25" ht="13.5" customHeight="1" x14ac:dyDescent="0.2">
      <c r="A78" s="1">
        <v>87625498752</v>
      </c>
      <c r="B78" s="1" t="s">
        <v>220</v>
      </c>
      <c r="C78" s="1" t="s">
        <v>20</v>
      </c>
      <c r="D78" s="1">
        <v>1234</v>
      </c>
      <c r="E78" s="17" t="s">
        <v>221</v>
      </c>
      <c r="F78" s="1">
        <v>67925998</v>
      </c>
      <c r="G78" s="2" t="s">
        <v>77</v>
      </c>
      <c r="H78" s="1" t="s">
        <v>21</v>
      </c>
      <c r="I78" s="1" t="s">
        <v>291</v>
      </c>
      <c r="J78" s="14">
        <v>-47911</v>
      </c>
      <c r="K78" s="2" t="s">
        <v>22</v>
      </c>
      <c r="L78" s="1" t="s">
        <v>23</v>
      </c>
      <c r="M78" s="2" t="s">
        <v>80</v>
      </c>
      <c r="N78" s="2" t="s">
        <v>160</v>
      </c>
      <c r="O78" s="1" t="s">
        <v>566</v>
      </c>
      <c r="P78" s="1" t="s">
        <v>24</v>
      </c>
      <c r="Q78" s="1" t="s">
        <v>772</v>
      </c>
      <c r="R78" s="1" t="s">
        <v>43</v>
      </c>
      <c r="S78" s="1" t="s">
        <v>44</v>
      </c>
      <c r="W78" s="19"/>
      <c r="X78" s="18" t="str">
        <f t="shared" si="1"/>
        <v/>
      </c>
      <c r="Y78" s="19"/>
    </row>
    <row r="79" spans="1:25" ht="13.5" customHeight="1" x14ac:dyDescent="0.2">
      <c r="A79" s="1">
        <v>87625498752</v>
      </c>
      <c r="B79" s="1" t="s">
        <v>220</v>
      </c>
      <c r="C79" s="1" t="s">
        <v>20</v>
      </c>
      <c r="D79" s="1">
        <v>1234</v>
      </c>
      <c r="E79" s="17" t="s">
        <v>221</v>
      </c>
      <c r="F79" s="1">
        <v>95102219</v>
      </c>
      <c r="G79" s="2" t="s">
        <v>77</v>
      </c>
      <c r="H79" s="1" t="s">
        <v>21</v>
      </c>
      <c r="I79" s="1" t="s">
        <v>292</v>
      </c>
      <c r="J79" s="14">
        <v>-47958</v>
      </c>
      <c r="K79" s="2" t="s">
        <v>22</v>
      </c>
      <c r="L79" s="1" t="s">
        <v>23</v>
      </c>
      <c r="M79" s="2" t="s">
        <v>80</v>
      </c>
      <c r="N79" s="2" t="s">
        <v>76</v>
      </c>
      <c r="O79" s="1" t="s">
        <v>567</v>
      </c>
      <c r="P79" s="1" t="s">
        <v>24</v>
      </c>
      <c r="Q79" s="1" t="s">
        <v>772</v>
      </c>
      <c r="R79" s="1" t="s">
        <v>43</v>
      </c>
      <c r="S79" s="1" t="s">
        <v>44</v>
      </c>
      <c r="W79" s="19"/>
      <c r="X79" s="18" t="str">
        <f t="shared" si="1"/>
        <v/>
      </c>
      <c r="Y79" s="19"/>
    </row>
    <row r="80" spans="1:25" ht="13.5" customHeight="1" x14ac:dyDescent="0.2">
      <c r="A80" s="1">
        <v>87625498752</v>
      </c>
      <c r="B80" s="1" t="s">
        <v>220</v>
      </c>
      <c r="C80" s="1" t="s">
        <v>20</v>
      </c>
      <c r="D80" s="1">
        <v>1234</v>
      </c>
      <c r="E80" s="17" t="s">
        <v>221</v>
      </c>
      <c r="F80" s="1">
        <v>25193288</v>
      </c>
      <c r="G80" s="2" t="s">
        <v>77</v>
      </c>
      <c r="H80" s="1" t="s">
        <v>21</v>
      </c>
      <c r="I80" s="1" t="s">
        <v>293</v>
      </c>
      <c r="J80" s="14">
        <v>9773</v>
      </c>
      <c r="K80" s="2" t="s">
        <v>22</v>
      </c>
      <c r="L80" s="1" t="s">
        <v>23</v>
      </c>
      <c r="M80" s="2" t="s">
        <v>80</v>
      </c>
      <c r="N80" s="2" t="s">
        <v>73</v>
      </c>
      <c r="O80" s="1" t="s">
        <v>568</v>
      </c>
      <c r="P80" s="1" t="s">
        <v>24</v>
      </c>
      <c r="Q80" s="1" t="s">
        <v>772</v>
      </c>
      <c r="R80" s="1" t="s">
        <v>43</v>
      </c>
      <c r="S80" s="1" t="s">
        <v>44</v>
      </c>
      <c r="W80" s="19"/>
      <c r="X80" s="18" t="str">
        <f t="shared" si="1"/>
        <v/>
      </c>
      <c r="Y80" s="19"/>
    </row>
    <row r="81" spans="1:25" ht="13.5" customHeight="1" x14ac:dyDescent="0.2">
      <c r="A81" s="1">
        <v>87625498752</v>
      </c>
      <c r="B81" s="1" t="s">
        <v>220</v>
      </c>
      <c r="C81" s="1" t="s">
        <v>20</v>
      </c>
      <c r="D81" s="1">
        <v>1234</v>
      </c>
      <c r="E81" s="17" t="s">
        <v>221</v>
      </c>
      <c r="F81" s="1">
        <v>58889633</v>
      </c>
      <c r="G81" s="2" t="s">
        <v>77</v>
      </c>
      <c r="H81" s="1" t="s">
        <v>21</v>
      </c>
      <c r="I81" s="1" t="s">
        <v>294</v>
      </c>
      <c r="J81" s="14">
        <v>44788</v>
      </c>
      <c r="K81" s="2" t="s">
        <v>22</v>
      </c>
      <c r="L81" s="1" t="s">
        <v>23</v>
      </c>
      <c r="M81" s="2" t="s">
        <v>80</v>
      </c>
      <c r="N81" s="2" t="s">
        <v>161</v>
      </c>
      <c r="O81" s="1" t="s">
        <v>569</v>
      </c>
      <c r="P81" s="1" t="s">
        <v>24</v>
      </c>
      <c r="Q81" s="1" t="s">
        <v>772</v>
      </c>
      <c r="R81" s="1" t="s">
        <v>43</v>
      </c>
      <c r="S81" s="1" t="s">
        <v>44</v>
      </c>
      <c r="W81" s="19"/>
      <c r="X81" s="18" t="str">
        <f t="shared" si="1"/>
        <v/>
      </c>
      <c r="Y81" s="19"/>
    </row>
    <row r="82" spans="1:25" ht="13.5" customHeight="1" x14ac:dyDescent="0.2">
      <c r="A82" s="1">
        <v>87625498752</v>
      </c>
      <c r="B82" s="1" t="s">
        <v>220</v>
      </c>
      <c r="C82" s="1" t="s">
        <v>20</v>
      </c>
      <c r="D82" s="1">
        <v>1234</v>
      </c>
      <c r="E82" s="17" t="s">
        <v>221</v>
      </c>
      <c r="F82" s="1">
        <v>34087033</v>
      </c>
      <c r="G82" s="2" t="s">
        <v>77</v>
      </c>
      <c r="H82" s="1" t="s">
        <v>21</v>
      </c>
      <c r="I82" s="1" t="s">
        <v>295</v>
      </c>
      <c r="J82" s="14">
        <v>-47608</v>
      </c>
      <c r="K82" s="2" t="s">
        <v>22</v>
      </c>
      <c r="L82" s="1" t="s">
        <v>23</v>
      </c>
      <c r="M82" s="2" t="s">
        <v>80</v>
      </c>
      <c r="N82" s="2" t="s">
        <v>162</v>
      </c>
      <c r="O82" s="1" t="s">
        <v>570</v>
      </c>
      <c r="P82" s="1" t="s">
        <v>24</v>
      </c>
      <c r="Q82" s="1" t="s">
        <v>772</v>
      </c>
      <c r="R82" s="1" t="s">
        <v>43</v>
      </c>
      <c r="S82" s="1" t="s">
        <v>44</v>
      </c>
      <c r="W82" s="19"/>
      <c r="X82" s="18" t="str">
        <f t="shared" si="1"/>
        <v/>
      </c>
      <c r="Y82" s="19"/>
    </row>
    <row r="83" spans="1:25" ht="13.5" customHeight="1" x14ac:dyDescent="0.2">
      <c r="A83" s="1">
        <v>87625498752</v>
      </c>
      <c r="B83" s="1" t="s">
        <v>220</v>
      </c>
      <c r="C83" s="1" t="s">
        <v>20</v>
      </c>
      <c r="D83" s="1">
        <v>1234</v>
      </c>
      <c r="E83" s="17" t="s">
        <v>221</v>
      </c>
      <c r="F83" s="1">
        <v>46164529</v>
      </c>
      <c r="G83" s="2" t="s">
        <v>77</v>
      </c>
      <c r="H83" s="1" t="s">
        <v>21</v>
      </c>
      <c r="I83" s="1" t="s">
        <v>296</v>
      </c>
      <c r="J83" s="14">
        <v>29819</v>
      </c>
      <c r="K83" s="2" t="s">
        <v>22</v>
      </c>
      <c r="L83" s="1" t="s">
        <v>23</v>
      </c>
      <c r="M83" s="2" t="s">
        <v>80</v>
      </c>
      <c r="N83" s="2" t="s">
        <v>76</v>
      </c>
      <c r="O83" s="1" t="s">
        <v>571</v>
      </c>
      <c r="P83" s="1" t="s">
        <v>24</v>
      </c>
      <c r="Q83" s="1" t="s">
        <v>772</v>
      </c>
      <c r="R83" s="1" t="s">
        <v>43</v>
      </c>
      <c r="S83" s="1" t="s">
        <v>44</v>
      </c>
      <c r="W83" s="19"/>
      <c r="X83" s="18" t="str">
        <f t="shared" si="1"/>
        <v/>
      </c>
      <c r="Y83" s="19"/>
    </row>
    <row r="84" spans="1:25" ht="13.5" customHeight="1" x14ac:dyDescent="0.2">
      <c r="A84" s="1">
        <v>87625498752</v>
      </c>
      <c r="B84" s="1" t="s">
        <v>220</v>
      </c>
      <c r="C84" s="1" t="s">
        <v>20</v>
      </c>
      <c r="D84" s="1">
        <v>1234</v>
      </c>
      <c r="E84" s="17" t="s">
        <v>221</v>
      </c>
      <c r="F84" s="1">
        <v>16331941</v>
      </c>
      <c r="G84" s="2" t="s">
        <v>77</v>
      </c>
      <c r="H84" s="1" t="s">
        <v>21</v>
      </c>
      <c r="I84" s="1" t="s">
        <v>297</v>
      </c>
      <c r="J84" s="14">
        <v>9614</v>
      </c>
      <c r="K84" s="2" t="s">
        <v>22</v>
      </c>
      <c r="L84" s="1" t="s">
        <v>23</v>
      </c>
      <c r="M84" s="2" t="s">
        <v>80</v>
      </c>
      <c r="N84" s="2" t="s">
        <v>75</v>
      </c>
      <c r="O84" s="1" t="s">
        <v>572</v>
      </c>
      <c r="P84" s="1" t="s">
        <v>24</v>
      </c>
      <c r="Q84" s="1" t="s">
        <v>772</v>
      </c>
      <c r="R84" s="1" t="s">
        <v>43</v>
      </c>
      <c r="S84" s="1" t="s">
        <v>44</v>
      </c>
      <c r="W84" s="19"/>
      <c r="X84" s="18" t="str">
        <f t="shared" si="1"/>
        <v/>
      </c>
      <c r="Y84" s="19"/>
    </row>
    <row r="85" spans="1:25" ht="13.5" customHeight="1" x14ac:dyDescent="0.2">
      <c r="A85" s="1">
        <v>87625498752</v>
      </c>
      <c r="B85" s="1" t="s">
        <v>220</v>
      </c>
      <c r="C85" s="1" t="s">
        <v>20</v>
      </c>
      <c r="D85" s="1">
        <v>1234</v>
      </c>
      <c r="E85" s="17" t="s">
        <v>221</v>
      </c>
      <c r="F85" s="1">
        <v>11495706</v>
      </c>
      <c r="G85" s="2" t="s">
        <v>77</v>
      </c>
      <c r="H85" s="1" t="s">
        <v>21</v>
      </c>
      <c r="I85" s="1" t="s">
        <v>298</v>
      </c>
      <c r="J85" s="14">
        <v>-32481</v>
      </c>
      <c r="K85" s="2" t="s">
        <v>22</v>
      </c>
      <c r="L85" s="1" t="s">
        <v>23</v>
      </c>
      <c r="M85" s="2" t="s">
        <v>80</v>
      </c>
      <c r="N85" s="2" t="s">
        <v>103</v>
      </c>
      <c r="O85" s="1" t="s">
        <v>573</v>
      </c>
      <c r="P85" s="1" t="s">
        <v>24</v>
      </c>
      <c r="Q85" s="1" t="s">
        <v>772</v>
      </c>
      <c r="R85" s="1" t="s">
        <v>43</v>
      </c>
      <c r="S85" s="1" t="s">
        <v>44</v>
      </c>
      <c r="W85" s="19"/>
      <c r="X85" s="18" t="str">
        <f t="shared" si="1"/>
        <v/>
      </c>
      <c r="Y85" s="19"/>
    </row>
    <row r="86" spans="1:25" ht="13.5" customHeight="1" x14ac:dyDescent="0.2">
      <c r="A86" s="1">
        <v>87625498752</v>
      </c>
      <c r="B86" s="1" t="s">
        <v>220</v>
      </c>
      <c r="C86" s="1" t="s">
        <v>20</v>
      </c>
      <c r="D86" s="1">
        <v>1234</v>
      </c>
      <c r="E86" s="17" t="s">
        <v>221</v>
      </c>
      <c r="F86" s="1">
        <v>77205327</v>
      </c>
      <c r="G86" s="2" t="s">
        <v>77</v>
      </c>
      <c r="H86" s="1" t="s">
        <v>21</v>
      </c>
      <c r="I86" s="1" t="s">
        <v>299</v>
      </c>
      <c r="J86" s="14">
        <v>-48486</v>
      </c>
      <c r="K86" s="2" t="s">
        <v>22</v>
      </c>
      <c r="L86" s="1" t="s">
        <v>23</v>
      </c>
      <c r="M86" s="2" t="s">
        <v>80</v>
      </c>
      <c r="N86" s="2" t="s">
        <v>163</v>
      </c>
      <c r="O86" s="1" t="s">
        <v>574</v>
      </c>
      <c r="P86" s="1" t="s">
        <v>24</v>
      </c>
      <c r="Q86" s="1" t="s">
        <v>772</v>
      </c>
      <c r="R86" s="1" t="s">
        <v>43</v>
      </c>
      <c r="S86" s="1" t="s">
        <v>44</v>
      </c>
      <c r="W86" s="19"/>
      <c r="X86" s="18" t="str">
        <f t="shared" si="1"/>
        <v/>
      </c>
      <c r="Y86" s="19"/>
    </row>
    <row r="87" spans="1:25" ht="13.5" customHeight="1" x14ac:dyDescent="0.2">
      <c r="A87" s="1">
        <v>87625498752</v>
      </c>
      <c r="B87" s="1" t="s">
        <v>220</v>
      </c>
      <c r="C87" s="1" t="s">
        <v>20</v>
      </c>
      <c r="D87" s="1">
        <v>1234</v>
      </c>
      <c r="E87" s="17" t="s">
        <v>221</v>
      </c>
      <c r="F87" s="1">
        <v>54370687</v>
      </c>
      <c r="G87" s="2" t="s">
        <v>77</v>
      </c>
      <c r="H87" s="1" t="s">
        <v>21</v>
      </c>
      <c r="I87" s="1" t="s">
        <v>300</v>
      </c>
      <c r="J87" s="14">
        <v>-14290</v>
      </c>
      <c r="K87" s="2" t="s">
        <v>22</v>
      </c>
      <c r="L87" s="1" t="s">
        <v>23</v>
      </c>
      <c r="M87" s="2" t="s">
        <v>80</v>
      </c>
      <c r="N87" s="2" t="s">
        <v>147</v>
      </c>
      <c r="O87" s="1" t="s">
        <v>575</v>
      </c>
      <c r="P87" s="1" t="s">
        <v>24</v>
      </c>
      <c r="Q87" s="1" t="s">
        <v>772</v>
      </c>
      <c r="R87" s="1" t="s">
        <v>43</v>
      </c>
      <c r="S87" s="1" t="s">
        <v>44</v>
      </c>
      <c r="W87" s="19"/>
      <c r="X87" s="18" t="str">
        <f t="shared" si="1"/>
        <v/>
      </c>
      <c r="Y87" s="19"/>
    </row>
    <row r="88" spans="1:25" ht="13.5" customHeight="1" x14ac:dyDescent="0.2">
      <c r="A88" s="1">
        <v>87625498752</v>
      </c>
      <c r="B88" s="1" t="s">
        <v>220</v>
      </c>
      <c r="C88" s="1" t="s">
        <v>20</v>
      </c>
      <c r="D88" s="1">
        <v>1234</v>
      </c>
      <c r="E88" s="17" t="s">
        <v>221</v>
      </c>
      <c r="F88" s="1">
        <v>88502103</v>
      </c>
      <c r="G88" s="2" t="s">
        <v>77</v>
      </c>
      <c r="H88" s="1" t="s">
        <v>21</v>
      </c>
      <c r="I88" s="1" t="s">
        <v>301</v>
      </c>
      <c r="J88" s="14">
        <v>-10760</v>
      </c>
      <c r="K88" s="2" t="s">
        <v>22</v>
      </c>
      <c r="L88" s="1" t="s">
        <v>23</v>
      </c>
      <c r="M88" s="2" t="s">
        <v>80</v>
      </c>
      <c r="N88" s="2" t="s">
        <v>164</v>
      </c>
      <c r="O88" s="1" t="s">
        <v>576</v>
      </c>
      <c r="P88" s="1" t="s">
        <v>24</v>
      </c>
      <c r="Q88" s="1" t="s">
        <v>772</v>
      </c>
      <c r="R88" s="1" t="s">
        <v>43</v>
      </c>
      <c r="S88" s="1" t="s">
        <v>44</v>
      </c>
      <c r="W88" s="19"/>
      <c r="X88" s="18" t="str">
        <f t="shared" si="1"/>
        <v/>
      </c>
      <c r="Y88" s="19"/>
    </row>
    <row r="89" spans="1:25" ht="13.5" customHeight="1" x14ac:dyDescent="0.2">
      <c r="A89" s="1">
        <v>87625498752</v>
      </c>
      <c r="B89" s="1" t="s">
        <v>220</v>
      </c>
      <c r="C89" s="1" t="s">
        <v>20</v>
      </c>
      <c r="D89" s="1">
        <v>1234</v>
      </c>
      <c r="E89" s="17" t="s">
        <v>221</v>
      </c>
      <c r="F89" s="1">
        <v>89805210</v>
      </c>
      <c r="G89" s="2" t="s">
        <v>77</v>
      </c>
      <c r="H89" s="1" t="s">
        <v>21</v>
      </c>
      <c r="I89" s="1" t="s">
        <v>302</v>
      </c>
      <c r="J89" s="14">
        <v>30283</v>
      </c>
      <c r="K89" s="2" t="s">
        <v>22</v>
      </c>
      <c r="L89" s="1" t="s">
        <v>23</v>
      </c>
      <c r="M89" s="2" t="s">
        <v>80</v>
      </c>
      <c r="N89" s="2" t="s">
        <v>165</v>
      </c>
      <c r="O89" s="1" t="s">
        <v>577</v>
      </c>
      <c r="P89" s="1" t="s">
        <v>24</v>
      </c>
      <c r="Q89" s="1" t="s">
        <v>772</v>
      </c>
      <c r="R89" s="1" t="s">
        <v>43</v>
      </c>
      <c r="S89" s="1" t="s">
        <v>44</v>
      </c>
      <c r="W89" s="19"/>
      <c r="X89" s="18" t="str">
        <f t="shared" si="1"/>
        <v/>
      </c>
      <c r="Y89" s="19"/>
    </row>
    <row r="90" spans="1:25" ht="13.5" customHeight="1" x14ac:dyDescent="0.2">
      <c r="A90" s="1">
        <v>87625498752</v>
      </c>
      <c r="B90" s="1" t="s">
        <v>220</v>
      </c>
      <c r="C90" s="1" t="s">
        <v>20</v>
      </c>
      <c r="D90" s="1">
        <v>1234</v>
      </c>
      <c r="E90" s="17" t="s">
        <v>221</v>
      </c>
      <c r="F90" s="1">
        <v>13975795</v>
      </c>
      <c r="G90" s="2" t="s">
        <v>77</v>
      </c>
      <c r="H90" s="1" t="s">
        <v>21</v>
      </c>
      <c r="I90" s="1" t="s">
        <v>303</v>
      </c>
      <c r="J90" s="14">
        <v>34318</v>
      </c>
      <c r="K90" s="2" t="s">
        <v>22</v>
      </c>
      <c r="L90" s="1" t="s">
        <v>23</v>
      </c>
      <c r="M90" s="2" t="s">
        <v>80</v>
      </c>
      <c r="N90" s="2" t="s">
        <v>165</v>
      </c>
      <c r="O90" s="1" t="s">
        <v>578</v>
      </c>
      <c r="P90" s="1" t="s">
        <v>24</v>
      </c>
      <c r="Q90" s="1" t="s">
        <v>772</v>
      </c>
      <c r="R90" s="1" t="s">
        <v>43</v>
      </c>
      <c r="S90" s="1" t="s">
        <v>44</v>
      </c>
      <c r="W90" s="19"/>
      <c r="X90" s="18" t="str">
        <f t="shared" si="1"/>
        <v/>
      </c>
      <c r="Y90" s="19"/>
    </row>
    <row r="91" spans="1:25" ht="13.5" customHeight="1" x14ac:dyDescent="0.2">
      <c r="A91" s="1">
        <v>87625498752</v>
      </c>
      <c r="B91" s="1" t="s">
        <v>220</v>
      </c>
      <c r="C91" s="1" t="s">
        <v>20</v>
      </c>
      <c r="D91" s="1">
        <v>1234</v>
      </c>
      <c r="E91" s="17" t="s">
        <v>221</v>
      </c>
      <c r="F91" s="1">
        <v>92988374</v>
      </c>
      <c r="G91" s="2" t="s">
        <v>77</v>
      </c>
      <c r="H91" s="1" t="s">
        <v>21</v>
      </c>
      <c r="I91" s="1" t="s">
        <v>304</v>
      </c>
      <c r="J91" s="14">
        <v>-26093</v>
      </c>
      <c r="K91" s="2" t="s">
        <v>22</v>
      </c>
      <c r="L91" s="1" t="s">
        <v>23</v>
      </c>
      <c r="M91" s="2" t="s">
        <v>80</v>
      </c>
      <c r="N91" s="2" t="s">
        <v>166</v>
      </c>
      <c r="O91" s="1" t="s">
        <v>579</v>
      </c>
      <c r="P91" s="1" t="s">
        <v>24</v>
      </c>
      <c r="Q91" s="1" t="s">
        <v>772</v>
      </c>
      <c r="R91" s="1" t="s">
        <v>43</v>
      </c>
      <c r="S91" s="1" t="s">
        <v>44</v>
      </c>
      <c r="W91" s="19"/>
      <c r="X91" s="18" t="str">
        <f t="shared" si="1"/>
        <v/>
      </c>
      <c r="Y91" s="19"/>
    </row>
    <row r="92" spans="1:25" ht="13.5" customHeight="1" x14ac:dyDescent="0.2">
      <c r="A92" s="1">
        <v>87625498752</v>
      </c>
      <c r="B92" s="1" t="s">
        <v>220</v>
      </c>
      <c r="C92" s="1" t="s">
        <v>20</v>
      </c>
      <c r="D92" s="1">
        <v>1234</v>
      </c>
      <c r="E92" s="17" t="s">
        <v>221</v>
      </c>
      <c r="F92" s="1">
        <v>60572741</v>
      </c>
      <c r="G92" s="2" t="s">
        <v>77</v>
      </c>
      <c r="H92" s="1" t="s">
        <v>21</v>
      </c>
      <c r="I92" s="1" t="s">
        <v>305</v>
      </c>
      <c r="J92" s="14">
        <v>-31874</v>
      </c>
      <c r="K92" s="2" t="s">
        <v>22</v>
      </c>
      <c r="L92" s="1" t="s">
        <v>23</v>
      </c>
      <c r="M92" s="2" t="s">
        <v>80</v>
      </c>
      <c r="N92" s="2" t="s">
        <v>56</v>
      </c>
      <c r="O92" s="1" t="s">
        <v>580</v>
      </c>
      <c r="P92" s="1" t="s">
        <v>24</v>
      </c>
      <c r="Q92" s="1" t="s">
        <v>772</v>
      </c>
      <c r="R92" s="1" t="s">
        <v>43</v>
      </c>
      <c r="S92" s="1" t="s">
        <v>44</v>
      </c>
      <c r="W92" s="19"/>
      <c r="X92" s="18" t="str">
        <f t="shared" si="1"/>
        <v/>
      </c>
      <c r="Y92" s="19"/>
    </row>
    <row r="93" spans="1:25" ht="13.5" customHeight="1" x14ac:dyDescent="0.2">
      <c r="A93" s="1">
        <v>87625498752</v>
      </c>
      <c r="B93" s="1" t="s">
        <v>220</v>
      </c>
      <c r="C93" s="1" t="s">
        <v>20</v>
      </c>
      <c r="D93" s="1">
        <v>1234</v>
      </c>
      <c r="E93" s="17" t="s">
        <v>221</v>
      </c>
      <c r="F93" s="1">
        <v>94347351</v>
      </c>
      <c r="G93" s="2" t="s">
        <v>77</v>
      </c>
      <c r="H93" s="1" t="s">
        <v>21</v>
      </c>
      <c r="I93" s="1" t="s">
        <v>306</v>
      </c>
      <c r="J93" s="14">
        <v>-29555</v>
      </c>
      <c r="K93" s="2" t="s">
        <v>22</v>
      </c>
      <c r="L93" s="1" t="s">
        <v>23</v>
      </c>
      <c r="M93" s="2" t="s">
        <v>80</v>
      </c>
      <c r="N93" s="2" t="s">
        <v>63</v>
      </c>
      <c r="O93" s="1" t="s">
        <v>581</v>
      </c>
      <c r="P93" s="1" t="s">
        <v>24</v>
      </c>
      <c r="Q93" s="1" t="s">
        <v>772</v>
      </c>
      <c r="R93" s="1" t="s">
        <v>43</v>
      </c>
      <c r="S93" s="1" t="s">
        <v>44</v>
      </c>
      <c r="W93" s="19"/>
      <c r="X93" s="18" t="str">
        <f t="shared" si="1"/>
        <v/>
      </c>
      <c r="Y93" s="19"/>
    </row>
    <row r="94" spans="1:25" ht="13.5" customHeight="1" x14ac:dyDescent="0.2">
      <c r="A94" s="1">
        <v>87625498752</v>
      </c>
      <c r="B94" s="1" t="s">
        <v>220</v>
      </c>
      <c r="C94" s="1" t="s">
        <v>20</v>
      </c>
      <c r="D94" s="1">
        <v>1234</v>
      </c>
      <c r="E94" s="17" t="s">
        <v>221</v>
      </c>
      <c r="F94" s="1">
        <v>93739518</v>
      </c>
      <c r="G94" s="2" t="s">
        <v>77</v>
      </c>
      <c r="H94" s="1" t="s">
        <v>21</v>
      </c>
      <c r="I94" s="1" t="s">
        <v>307</v>
      </c>
      <c r="J94" s="14">
        <v>26251</v>
      </c>
      <c r="K94" s="2" t="s">
        <v>22</v>
      </c>
      <c r="L94" s="1" t="s">
        <v>23</v>
      </c>
      <c r="M94" s="2" t="s">
        <v>80</v>
      </c>
      <c r="N94" s="2" t="s">
        <v>79</v>
      </c>
      <c r="O94" s="1" t="s">
        <v>582</v>
      </c>
      <c r="P94" s="1" t="s">
        <v>24</v>
      </c>
      <c r="Q94" s="1" t="s">
        <v>772</v>
      </c>
      <c r="R94" s="1" t="s">
        <v>43</v>
      </c>
      <c r="S94" s="1" t="s">
        <v>44</v>
      </c>
      <c r="W94" s="19"/>
      <c r="X94" s="18" t="str">
        <f t="shared" si="1"/>
        <v/>
      </c>
      <c r="Y94" s="19"/>
    </row>
    <row r="95" spans="1:25" ht="13.5" customHeight="1" x14ac:dyDescent="0.2">
      <c r="A95" s="1">
        <v>87625498752</v>
      </c>
      <c r="B95" s="1" t="s">
        <v>220</v>
      </c>
      <c r="C95" s="1" t="s">
        <v>20</v>
      </c>
      <c r="D95" s="1">
        <v>1234</v>
      </c>
      <c r="E95" s="17" t="s">
        <v>221</v>
      </c>
      <c r="F95" s="1">
        <v>73342160</v>
      </c>
      <c r="G95" s="2" t="s">
        <v>77</v>
      </c>
      <c r="H95" s="1" t="s">
        <v>21</v>
      </c>
      <c r="I95" s="1" t="s">
        <v>308</v>
      </c>
      <c r="J95" s="14">
        <v>31142</v>
      </c>
      <c r="K95" s="2" t="s">
        <v>22</v>
      </c>
      <c r="L95" s="1" t="s">
        <v>23</v>
      </c>
      <c r="M95" s="2" t="s">
        <v>80</v>
      </c>
      <c r="N95" s="2" t="s">
        <v>96</v>
      </c>
      <c r="O95" s="1" t="s">
        <v>583</v>
      </c>
      <c r="P95" s="1" t="s">
        <v>24</v>
      </c>
      <c r="Q95" s="1" t="s">
        <v>772</v>
      </c>
      <c r="R95" s="1" t="s">
        <v>43</v>
      </c>
      <c r="S95" s="1" t="s">
        <v>44</v>
      </c>
      <c r="W95" s="19"/>
      <c r="X95" s="18" t="str">
        <f t="shared" si="1"/>
        <v/>
      </c>
      <c r="Y95" s="19"/>
    </row>
    <row r="96" spans="1:25" ht="13.5" customHeight="1" x14ac:dyDescent="0.2">
      <c r="A96" s="1">
        <v>87625498752</v>
      </c>
      <c r="B96" s="1" t="s">
        <v>220</v>
      </c>
      <c r="C96" s="1" t="s">
        <v>20</v>
      </c>
      <c r="D96" s="1">
        <v>1234</v>
      </c>
      <c r="E96" s="17" t="s">
        <v>221</v>
      </c>
      <c r="F96" s="1">
        <v>47167407</v>
      </c>
      <c r="G96" s="2" t="s">
        <v>77</v>
      </c>
      <c r="H96" s="1" t="s">
        <v>21</v>
      </c>
      <c r="I96" s="1" t="s">
        <v>309</v>
      </c>
      <c r="J96" s="14">
        <v>-12856</v>
      </c>
      <c r="K96" s="2" t="s">
        <v>22</v>
      </c>
      <c r="L96" s="1" t="s">
        <v>23</v>
      </c>
      <c r="M96" s="2" t="s">
        <v>80</v>
      </c>
      <c r="N96" s="2" t="s">
        <v>167</v>
      </c>
      <c r="O96" s="1" t="s">
        <v>584</v>
      </c>
      <c r="P96" s="1" t="s">
        <v>24</v>
      </c>
      <c r="Q96" s="1" t="s">
        <v>772</v>
      </c>
      <c r="R96" s="1" t="s">
        <v>43</v>
      </c>
      <c r="S96" s="1" t="s">
        <v>44</v>
      </c>
      <c r="W96" s="19"/>
      <c r="X96" s="18" t="str">
        <f t="shared" si="1"/>
        <v/>
      </c>
      <c r="Y96" s="19"/>
    </row>
    <row r="97" spans="1:25" ht="13.5" customHeight="1" x14ac:dyDescent="0.2">
      <c r="A97" s="1">
        <v>87625498752</v>
      </c>
      <c r="B97" s="1" t="s">
        <v>220</v>
      </c>
      <c r="C97" s="1" t="s">
        <v>20</v>
      </c>
      <c r="D97" s="1">
        <v>1234</v>
      </c>
      <c r="E97" s="17" t="s">
        <v>221</v>
      </c>
      <c r="F97" s="1">
        <v>42615427</v>
      </c>
      <c r="G97" s="2" t="s">
        <v>77</v>
      </c>
      <c r="H97" s="1" t="s">
        <v>21</v>
      </c>
      <c r="I97" s="1" t="s">
        <v>310</v>
      </c>
      <c r="J97" s="14">
        <v>-48898</v>
      </c>
      <c r="K97" s="2" t="s">
        <v>22</v>
      </c>
      <c r="L97" s="1" t="s">
        <v>23</v>
      </c>
      <c r="M97" s="2" t="s">
        <v>80</v>
      </c>
      <c r="N97" s="2" t="s">
        <v>101</v>
      </c>
      <c r="O97" s="1" t="s">
        <v>585</v>
      </c>
      <c r="P97" s="1" t="s">
        <v>24</v>
      </c>
      <c r="Q97" s="1" t="s">
        <v>772</v>
      </c>
      <c r="R97" s="1" t="s">
        <v>43</v>
      </c>
      <c r="S97" s="1" t="s">
        <v>44</v>
      </c>
      <c r="W97" s="19"/>
      <c r="X97" s="18" t="str">
        <f t="shared" si="1"/>
        <v/>
      </c>
      <c r="Y97" s="19"/>
    </row>
    <row r="98" spans="1:25" ht="13.5" customHeight="1" x14ac:dyDescent="0.2">
      <c r="A98" s="1">
        <v>87625498752</v>
      </c>
      <c r="B98" s="1" t="s">
        <v>220</v>
      </c>
      <c r="C98" s="1" t="s">
        <v>20</v>
      </c>
      <c r="D98" s="1">
        <v>1234</v>
      </c>
      <c r="E98" s="17" t="s">
        <v>221</v>
      </c>
      <c r="F98" s="1">
        <v>50552371</v>
      </c>
      <c r="G98" s="2" t="s">
        <v>77</v>
      </c>
      <c r="H98" s="1" t="s">
        <v>21</v>
      </c>
      <c r="I98" s="1" t="s">
        <v>311</v>
      </c>
      <c r="J98" s="14">
        <v>-12156</v>
      </c>
      <c r="K98" s="2" t="s">
        <v>22</v>
      </c>
      <c r="L98" s="1" t="s">
        <v>23</v>
      </c>
      <c r="M98" s="2" t="s">
        <v>80</v>
      </c>
      <c r="N98" s="2" t="s">
        <v>49</v>
      </c>
      <c r="O98" s="1" t="s">
        <v>586</v>
      </c>
      <c r="P98" s="1" t="s">
        <v>24</v>
      </c>
      <c r="Q98" s="1" t="s">
        <v>772</v>
      </c>
      <c r="R98" s="1" t="s">
        <v>43</v>
      </c>
      <c r="S98" s="1" t="s">
        <v>44</v>
      </c>
      <c r="W98" s="19"/>
      <c r="X98" s="18" t="str">
        <f t="shared" si="1"/>
        <v/>
      </c>
      <c r="Y98" s="19"/>
    </row>
    <row r="99" spans="1:25" ht="13.5" customHeight="1" x14ac:dyDescent="0.2">
      <c r="A99" s="1">
        <v>87625498752</v>
      </c>
      <c r="B99" s="1" t="s">
        <v>220</v>
      </c>
      <c r="C99" s="1" t="s">
        <v>20</v>
      </c>
      <c r="D99" s="1">
        <v>1234</v>
      </c>
      <c r="E99" s="17" t="s">
        <v>221</v>
      </c>
      <c r="F99" s="1">
        <v>99697601</v>
      </c>
      <c r="G99" s="2" t="s">
        <v>77</v>
      </c>
      <c r="H99" s="1" t="s">
        <v>21</v>
      </c>
      <c r="I99" s="1" t="s">
        <v>312</v>
      </c>
      <c r="J99" s="14">
        <v>9452</v>
      </c>
      <c r="K99" s="2" t="s">
        <v>22</v>
      </c>
      <c r="L99" s="1" t="s">
        <v>23</v>
      </c>
      <c r="M99" s="2" t="s">
        <v>80</v>
      </c>
      <c r="N99" s="2" t="s">
        <v>103</v>
      </c>
      <c r="O99" s="1" t="s">
        <v>587</v>
      </c>
      <c r="P99" s="1" t="s">
        <v>24</v>
      </c>
      <c r="Q99" s="1" t="s">
        <v>772</v>
      </c>
      <c r="R99" s="1" t="s">
        <v>43</v>
      </c>
      <c r="S99" s="1" t="s">
        <v>44</v>
      </c>
      <c r="W99" s="19"/>
      <c r="X99" s="18" t="str">
        <f t="shared" si="1"/>
        <v/>
      </c>
      <c r="Y99" s="19"/>
    </row>
    <row r="100" spans="1:25" ht="13.5" customHeight="1" x14ac:dyDescent="0.2">
      <c r="A100" s="1">
        <v>87625498752</v>
      </c>
      <c r="B100" s="1" t="s">
        <v>220</v>
      </c>
      <c r="C100" s="1" t="s">
        <v>20</v>
      </c>
      <c r="D100" s="1">
        <v>1234</v>
      </c>
      <c r="E100" s="17" t="s">
        <v>221</v>
      </c>
      <c r="F100" s="1">
        <v>48315294</v>
      </c>
      <c r="G100" s="2" t="s">
        <v>77</v>
      </c>
      <c r="H100" s="1" t="s">
        <v>21</v>
      </c>
      <c r="I100" s="1" t="s">
        <v>313</v>
      </c>
      <c r="J100" s="14">
        <v>-7200</v>
      </c>
      <c r="K100" s="2" t="s">
        <v>22</v>
      </c>
      <c r="L100" s="1" t="s">
        <v>23</v>
      </c>
      <c r="M100" s="2" t="s">
        <v>80</v>
      </c>
      <c r="N100" s="2" t="s">
        <v>103</v>
      </c>
      <c r="O100" s="1" t="s">
        <v>588</v>
      </c>
      <c r="P100" s="1" t="s">
        <v>24</v>
      </c>
      <c r="Q100" s="1" t="s">
        <v>772</v>
      </c>
      <c r="R100" s="1" t="s">
        <v>43</v>
      </c>
      <c r="S100" s="1" t="s">
        <v>44</v>
      </c>
      <c r="W100" s="19"/>
      <c r="X100" s="18" t="str">
        <f t="shared" si="1"/>
        <v/>
      </c>
      <c r="Y100" s="19"/>
    </row>
    <row r="101" spans="1:25" ht="13.5" customHeight="1" x14ac:dyDescent="0.2">
      <c r="A101" s="1">
        <v>87625498752</v>
      </c>
      <c r="B101" s="1" t="s">
        <v>220</v>
      </c>
      <c r="C101" s="1" t="s">
        <v>20</v>
      </c>
      <c r="D101" s="1">
        <v>1234</v>
      </c>
      <c r="E101" s="17" t="s">
        <v>221</v>
      </c>
      <c r="F101" s="1">
        <v>12496722</v>
      </c>
      <c r="G101" s="2" t="s">
        <v>77</v>
      </c>
      <c r="H101" s="1" t="s">
        <v>21</v>
      </c>
      <c r="I101" s="1" t="s">
        <v>314</v>
      </c>
      <c r="J101" s="14">
        <v>9560</v>
      </c>
      <c r="K101" s="2" t="s">
        <v>22</v>
      </c>
      <c r="L101" s="1" t="s">
        <v>23</v>
      </c>
      <c r="M101" s="2" t="s">
        <v>80</v>
      </c>
      <c r="N101" s="2" t="s">
        <v>102</v>
      </c>
      <c r="O101" s="1" t="s">
        <v>589</v>
      </c>
      <c r="P101" s="1" t="s">
        <v>24</v>
      </c>
      <c r="Q101" s="1" t="s">
        <v>772</v>
      </c>
      <c r="R101" s="1" t="s">
        <v>43</v>
      </c>
      <c r="S101" s="1" t="s">
        <v>44</v>
      </c>
      <c r="W101" s="19"/>
      <c r="X101" s="18" t="str">
        <f t="shared" si="1"/>
        <v/>
      </c>
      <c r="Y101" s="19"/>
    </row>
    <row r="102" spans="1:25" ht="13.5" customHeight="1" x14ac:dyDescent="0.2">
      <c r="A102" s="1">
        <v>87625498752</v>
      </c>
      <c r="B102" s="1" t="s">
        <v>220</v>
      </c>
      <c r="C102" s="1" t="s">
        <v>20</v>
      </c>
      <c r="D102" s="1">
        <v>1234</v>
      </c>
      <c r="E102" s="17" t="s">
        <v>221</v>
      </c>
      <c r="F102" s="1">
        <v>41011044</v>
      </c>
      <c r="G102" s="2" t="s">
        <v>77</v>
      </c>
      <c r="H102" s="1" t="s">
        <v>21</v>
      </c>
      <c r="I102" s="1" t="s">
        <v>315</v>
      </c>
      <c r="J102" s="14">
        <v>-32649</v>
      </c>
      <c r="K102" s="2" t="s">
        <v>22</v>
      </c>
      <c r="L102" s="1" t="s">
        <v>23</v>
      </c>
      <c r="M102" s="2" t="s">
        <v>80</v>
      </c>
      <c r="N102" s="2" t="s">
        <v>168</v>
      </c>
      <c r="O102" s="1" t="s">
        <v>590</v>
      </c>
      <c r="P102" s="1" t="s">
        <v>24</v>
      </c>
      <c r="Q102" s="1" t="s">
        <v>772</v>
      </c>
      <c r="R102" s="1" t="s">
        <v>43</v>
      </c>
      <c r="S102" s="1" t="s">
        <v>44</v>
      </c>
      <c r="W102" s="19"/>
      <c r="X102" s="18" t="str">
        <f t="shared" si="1"/>
        <v/>
      </c>
      <c r="Y102" s="19"/>
    </row>
    <row r="103" spans="1:25" ht="13.5" customHeight="1" x14ac:dyDescent="0.2">
      <c r="A103" s="1">
        <v>87625498752</v>
      </c>
      <c r="B103" s="1" t="s">
        <v>220</v>
      </c>
      <c r="C103" s="1" t="s">
        <v>20</v>
      </c>
      <c r="D103" s="1">
        <v>1234</v>
      </c>
      <c r="E103" s="17" t="s">
        <v>221</v>
      </c>
      <c r="F103" s="1">
        <v>67089508</v>
      </c>
      <c r="G103" s="2" t="s">
        <v>77</v>
      </c>
      <c r="H103" s="1" t="s">
        <v>21</v>
      </c>
      <c r="I103" s="1" t="s">
        <v>316</v>
      </c>
      <c r="J103" s="14">
        <v>-30953</v>
      </c>
      <c r="K103" s="2" t="s">
        <v>22</v>
      </c>
      <c r="L103" s="1" t="s">
        <v>23</v>
      </c>
      <c r="M103" s="2" t="s">
        <v>80</v>
      </c>
      <c r="N103" s="2" t="s">
        <v>169</v>
      </c>
      <c r="O103" s="1" t="s">
        <v>591</v>
      </c>
      <c r="P103" s="1" t="s">
        <v>24</v>
      </c>
      <c r="Q103" s="1" t="s">
        <v>772</v>
      </c>
      <c r="R103" s="1" t="s">
        <v>43</v>
      </c>
      <c r="S103" s="1" t="s">
        <v>44</v>
      </c>
      <c r="W103" s="19"/>
      <c r="X103" s="18" t="str">
        <f t="shared" si="1"/>
        <v/>
      </c>
      <c r="Y103" s="19"/>
    </row>
    <row r="104" spans="1:25" ht="13.5" customHeight="1" x14ac:dyDescent="0.2">
      <c r="A104" s="1">
        <v>87625498752</v>
      </c>
      <c r="B104" s="1" t="s">
        <v>220</v>
      </c>
      <c r="C104" s="1" t="s">
        <v>20</v>
      </c>
      <c r="D104" s="1">
        <v>1234</v>
      </c>
      <c r="E104" s="17" t="s">
        <v>221</v>
      </c>
      <c r="F104" s="1">
        <v>70474088</v>
      </c>
      <c r="G104" s="2" t="s">
        <v>77</v>
      </c>
      <c r="H104" s="1" t="s">
        <v>21</v>
      </c>
      <c r="I104" s="1" t="s">
        <v>317</v>
      </c>
      <c r="J104" s="14">
        <v>-11933</v>
      </c>
      <c r="K104" s="2" t="s">
        <v>22</v>
      </c>
      <c r="L104" s="1" t="s">
        <v>23</v>
      </c>
      <c r="M104" s="2" t="s">
        <v>80</v>
      </c>
      <c r="N104" s="2" t="s">
        <v>170</v>
      </c>
      <c r="O104" s="1" t="s">
        <v>592</v>
      </c>
      <c r="P104" s="1" t="s">
        <v>24</v>
      </c>
      <c r="Q104" s="1" t="s">
        <v>772</v>
      </c>
      <c r="R104" s="1" t="s">
        <v>43</v>
      </c>
      <c r="S104" s="1" t="s">
        <v>44</v>
      </c>
      <c r="W104" s="19"/>
      <c r="X104" s="18" t="str">
        <f t="shared" si="1"/>
        <v/>
      </c>
      <c r="Y104" s="19"/>
    </row>
    <row r="105" spans="1:25" ht="13.5" customHeight="1" x14ac:dyDescent="0.2">
      <c r="A105" s="1">
        <v>87625498752</v>
      </c>
      <c r="B105" s="1" t="s">
        <v>220</v>
      </c>
      <c r="C105" s="1" t="s">
        <v>20</v>
      </c>
      <c r="D105" s="1">
        <v>1234</v>
      </c>
      <c r="E105" s="17" t="s">
        <v>221</v>
      </c>
      <c r="F105" s="1">
        <v>20103346</v>
      </c>
      <c r="G105" s="2" t="s">
        <v>77</v>
      </c>
      <c r="H105" s="1" t="s">
        <v>21</v>
      </c>
      <c r="I105" s="1" t="s">
        <v>318</v>
      </c>
      <c r="J105" s="14">
        <v>-4301</v>
      </c>
      <c r="K105" s="2" t="s">
        <v>22</v>
      </c>
      <c r="L105" s="1" t="s">
        <v>23</v>
      </c>
      <c r="M105" s="2" t="s">
        <v>80</v>
      </c>
      <c r="N105" s="2" t="s">
        <v>104</v>
      </c>
      <c r="O105" s="1" t="s">
        <v>593</v>
      </c>
      <c r="P105" s="1" t="s">
        <v>24</v>
      </c>
      <c r="Q105" s="1" t="s">
        <v>772</v>
      </c>
      <c r="R105" s="1" t="s">
        <v>43</v>
      </c>
      <c r="S105" s="1" t="s">
        <v>44</v>
      </c>
      <c r="W105" s="19"/>
      <c r="X105" s="18" t="str">
        <f t="shared" si="1"/>
        <v/>
      </c>
      <c r="Y105" s="19"/>
    </row>
    <row r="106" spans="1:25" ht="13.5" customHeight="1" x14ac:dyDescent="0.2">
      <c r="A106" s="1">
        <v>87625498752</v>
      </c>
      <c r="B106" s="1" t="s">
        <v>220</v>
      </c>
      <c r="C106" s="1" t="s">
        <v>20</v>
      </c>
      <c r="D106" s="1">
        <v>1234</v>
      </c>
      <c r="E106" s="17" t="s">
        <v>221</v>
      </c>
      <c r="F106" s="1">
        <v>97638914</v>
      </c>
      <c r="G106" s="2" t="s">
        <v>77</v>
      </c>
      <c r="H106" s="1" t="s">
        <v>21</v>
      </c>
      <c r="I106" s="1" t="s">
        <v>319</v>
      </c>
      <c r="J106" s="14">
        <v>45020</v>
      </c>
      <c r="K106" s="2" t="s">
        <v>22</v>
      </c>
      <c r="L106" s="1" t="s">
        <v>23</v>
      </c>
      <c r="M106" s="2" t="s">
        <v>80</v>
      </c>
      <c r="N106" s="2" t="s">
        <v>63</v>
      </c>
      <c r="O106" s="1" t="s">
        <v>594</v>
      </c>
      <c r="P106" s="1" t="s">
        <v>24</v>
      </c>
      <c r="Q106" s="1" t="s">
        <v>772</v>
      </c>
      <c r="R106" s="1" t="s">
        <v>43</v>
      </c>
      <c r="S106" s="1" t="s">
        <v>44</v>
      </c>
      <c r="W106" s="19"/>
      <c r="X106" s="18" t="str">
        <f t="shared" si="1"/>
        <v/>
      </c>
      <c r="Y106" s="19"/>
    </row>
    <row r="107" spans="1:25" ht="13.5" customHeight="1" x14ac:dyDescent="0.2">
      <c r="A107" s="1">
        <v>87625498752</v>
      </c>
      <c r="B107" s="1" t="s">
        <v>220</v>
      </c>
      <c r="C107" s="1" t="s">
        <v>20</v>
      </c>
      <c r="D107" s="1">
        <v>1234</v>
      </c>
      <c r="E107" s="17" t="s">
        <v>221</v>
      </c>
      <c r="F107" s="1">
        <v>54720556</v>
      </c>
      <c r="G107" s="2" t="s">
        <v>77</v>
      </c>
      <c r="H107" s="1" t="s">
        <v>21</v>
      </c>
      <c r="I107" s="1" t="s">
        <v>320</v>
      </c>
      <c r="J107" s="14">
        <v>23132</v>
      </c>
      <c r="K107" s="2" t="s">
        <v>22</v>
      </c>
      <c r="L107" s="1" t="s">
        <v>23</v>
      </c>
      <c r="M107" s="2" t="s">
        <v>80</v>
      </c>
      <c r="N107" s="2" t="s">
        <v>47</v>
      </c>
      <c r="O107" s="1" t="s">
        <v>595</v>
      </c>
      <c r="P107" s="1" t="s">
        <v>24</v>
      </c>
      <c r="Q107" s="1" t="s">
        <v>772</v>
      </c>
      <c r="R107" s="1" t="s">
        <v>43</v>
      </c>
      <c r="S107" s="1" t="s">
        <v>44</v>
      </c>
      <c r="W107" s="19"/>
      <c r="X107" s="18" t="str">
        <f t="shared" si="1"/>
        <v/>
      </c>
      <c r="Y107" s="19"/>
    </row>
    <row r="108" spans="1:25" ht="13.5" customHeight="1" x14ac:dyDescent="0.2">
      <c r="A108" s="1">
        <v>87625498752</v>
      </c>
      <c r="B108" s="1" t="s">
        <v>220</v>
      </c>
      <c r="C108" s="1" t="s">
        <v>20</v>
      </c>
      <c r="D108" s="1">
        <v>1234</v>
      </c>
      <c r="E108" s="17" t="s">
        <v>221</v>
      </c>
      <c r="F108" s="1">
        <v>24938521</v>
      </c>
      <c r="G108" s="2" t="s">
        <v>77</v>
      </c>
      <c r="H108" s="1" t="s">
        <v>21</v>
      </c>
      <c r="I108" s="1" t="s">
        <v>321</v>
      </c>
      <c r="J108" s="14">
        <v>3477</v>
      </c>
      <c r="K108" s="2" t="s">
        <v>22</v>
      </c>
      <c r="L108" s="1" t="s">
        <v>23</v>
      </c>
      <c r="M108" s="2" t="s">
        <v>80</v>
      </c>
      <c r="N108" s="2" t="s">
        <v>100</v>
      </c>
      <c r="O108" s="1" t="s">
        <v>596</v>
      </c>
      <c r="P108" s="1" t="s">
        <v>24</v>
      </c>
      <c r="Q108" s="1" t="s">
        <v>772</v>
      </c>
      <c r="R108" s="1" t="s">
        <v>43</v>
      </c>
      <c r="S108" s="1" t="s">
        <v>44</v>
      </c>
      <c r="W108" s="19"/>
      <c r="X108" s="18" t="str">
        <f t="shared" si="1"/>
        <v/>
      </c>
      <c r="Y108" s="19"/>
    </row>
    <row r="109" spans="1:25" ht="13.5" customHeight="1" x14ac:dyDescent="0.2">
      <c r="A109" s="1">
        <v>87625498752</v>
      </c>
      <c r="B109" s="1" t="s">
        <v>220</v>
      </c>
      <c r="C109" s="1" t="s">
        <v>20</v>
      </c>
      <c r="D109" s="1">
        <v>1234</v>
      </c>
      <c r="E109" s="17" t="s">
        <v>221</v>
      </c>
      <c r="F109" s="1">
        <v>72750467</v>
      </c>
      <c r="G109" s="2" t="s">
        <v>77</v>
      </c>
      <c r="H109" s="1" t="s">
        <v>21</v>
      </c>
      <c r="I109" s="1" t="s">
        <v>322</v>
      </c>
      <c r="J109" s="14">
        <v>-21015</v>
      </c>
      <c r="K109" s="2" t="s">
        <v>22</v>
      </c>
      <c r="L109" s="1" t="s">
        <v>23</v>
      </c>
      <c r="M109" s="2" t="s">
        <v>80</v>
      </c>
      <c r="N109" s="2" t="s">
        <v>171</v>
      </c>
      <c r="O109" s="1" t="s">
        <v>597</v>
      </c>
      <c r="P109" s="1" t="s">
        <v>24</v>
      </c>
      <c r="Q109" s="1" t="s">
        <v>772</v>
      </c>
      <c r="R109" s="1" t="s">
        <v>43</v>
      </c>
      <c r="S109" s="1" t="s">
        <v>44</v>
      </c>
      <c r="W109" s="19"/>
      <c r="X109" s="18" t="str">
        <f t="shared" si="1"/>
        <v/>
      </c>
      <c r="Y109" s="19"/>
    </row>
    <row r="110" spans="1:25" ht="13.5" customHeight="1" x14ac:dyDescent="0.2">
      <c r="A110" s="1">
        <v>87625498752</v>
      </c>
      <c r="B110" s="1" t="s">
        <v>220</v>
      </c>
      <c r="C110" s="1" t="s">
        <v>20</v>
      </c>
      <c r="D110" s="1">
        <v>1234</v>
      </c>
      <c r="E110" s="17" t="s">
        <v>221</v>
      </c>
      <c r="F110" s="1">
        <v>45364209</v>
      </c>
      <c r="G110" s="2" t="s">
        <v>77</v>
      </c>
      <c r="H110" s="1" t="s">
        <v>21</v>
      </c>
      <c r="I110" s="1" t="s">
        <v>323</v>
      </c>
      <c r="J110" s="14">
        <v>38837</v>
      </c>
      <c r="K110" s="2" t="s">
        <v>22</v>
      </c>
      <c r="L110" s="1" t="s">
        <v>23</v>
      </c>
      <c r="M110" s="2" t="s">
        <v>80</v>
      </c>
      <c r="N110" s="2" t="s">
        <v>172</v>
      </c>
      <c r="O110" s="1" t="s">
        <v>598</v>
      </c>
      <c r="P110" s="1" t="s">
        <v>24</v>
      </c>
      <c r="Q110" s="1" t="s">
        <v>772</v>
      </c>
      <c r="R110" s="1" t="s">
        <v>43</v>
      </c>
      <c r="S110" s="1" t="s">
        <v>44</v>
      </c>
      <c r="W110" s="19"/>
      <c r="X110" s="18" t="str">
        <f t="shared" si="1"/>
        <v/>
      </c>
      <c r="Y110" s="19"/>
    </row>
    <row r="111" spans="1:25" ht="13.5" customHeight="1" x14ac:dyDescent="0.2">
      <c r="A111" s="1">
        <v>87625498752</v>
      </c>
      <c r="B111" s="1" t="s">
        <v>220</v>
      </c>
      <c r="C111" s="1" t="s">
        <v>20</v>
      </c>
      <c r="D111" s="1">
        <v>1234</v>
      </c>
      <c r="E111" s="17" t="s">
        <v>221</v>
      </c>
      <c r="F111" s="1">
        <v>81568161</v>
      </c>
      <c r="G111" s="2" t="s">
        <v>77</v>
      </c>
      <c r="H111" s="1" t="s">
        <v>21</v>
      </c>
      <c r="I111" s="1" t="s">
        <v>324</v>
      </c>
      <c r="J111" s="14">
        <v>3110</v>
      </c>
      <c r="K111" s="2" t="s">
        <v>22</v>
      </c>
      <c r="L111" s="1" t="s">
        <v>23</v>
      </c>
      <c r="M111" s="2" t="s">
        <v>80</v>
      </c>
      <c r="N111" s="2" t="s">
        <v>172</v>
      </c>
      <c r="O111" s="1" t="s">
        <v>599</v>
      </c>
      <c r="P111" s="1" t="s">
        <v>24</v>
      </c>
      <c r="Q111" s="1" t="s">
        <v>772</v>
      </c>
      <c r="R111" s="1" t="s">
        <v>43</v>
      </c>
      <c r="S111" s="1" t="s">
        <v>44</v>
      </c>
      <c r="W111" s="19"/>
      <c r="X111" s="18" t="str">
        <f t="shared" si="1"/>
        <v/>
      </c>
      <c r="Y111" s="19"/>
    </row>
    <row r="112" spans="1:25" ht="13.5" customHeight="1" x14ac:dyDescent="0.2">
      <c r="A112" s="1">
        <v>87625498752</v>
      </c>
      <c r="B112" s="1" t="s">
        <v>220</v>
      </c>
      <c r="C112" s="1" t="s">
        <v>20</v>
      </c>
      <c r="D112" s="1">
        <v>1234</v>
      </c>
      <c r="E112" s="17" t="s">
        <v>221</v>
      </c>
      <c r="F112" s="1">
        <v>73403313</v>
      </c>
      <c r="G112" s="2" t="s">
        <v>77</v>
      </c>
      <c r="H112" s="1" t="s">
        <v>21</v>
      </c>
      <c r="I112" s="1" t="s">
        <v>325</v>
      </c>
      <c r="J112" s="14">
        <v>-41232</v>
      </c>
      <c r="K112" s="2" t="s">
        <v>22</v>
      </c>
      <c r="L112" s="1" t="s">
        <v>23</v>
      </c>
      <c r="M112" s="2" t="s">
        <v>80</v>
      </c>
      <c r="N112" s="2" t="s">
        <v>105</v>
      </c>
      <c r="O112" s="1" t="s">
        <v>600</v>
      </c>
      <c r="P112" s="1" t="s">
        <v>24</v>
      </c>
      <c r="Q112" s="1" t="s">
        <v>772</v>
      </c>
      <c r="R112" s="1" t="s">
        <v>43</v>
      </c>
      <c r="S112" s="1" t="s">
        <v>44</v>
      </c>
      <c r="W112" s="19"/>
      <c r="X112" s="18" t="str">
        <f t="shared" si="1"/>
        <v/>
      </c>
      <c r="Y112" s="19"/>
    </row>
    <row r="113" spans="1:25" ht="13.5" customHeight="1" x14ac:dyDescent="0.2">
      <c r="A113" s="1">
        <v>87625498752</v>
      </c>
      <c r="B113" s="1" t="s">
        <v>220</v>
      </c>
      <c r="C113" s="1" t="s">
        <v>20</v>
      </c>
      <c r="D113" s="1">
        <v>1234</v>
      </c>
      <c r="E113" s="17" t="s">
        <v>221</v>
      </c>
      <c r="F113" s="1">
        <v>38300117</v>
      </c>
      <c r="G113" s="2" t="s">
        <v>77</v>
      </c>
      <c r="H113" s="1" t="s">
        <v>21</v>
      </c>
      <c r="I113" s="1" t="s">
        <v>326</v>
      </c>
      <c r="J113" s="14">
        <v>34289</v>
      </c>
      <c r="K113" s="2" t="s">
        <v>22</v>
      </c>
      <c r="L113" s="1" t="s">
        <v>23</v>
      </c>
      <c r="M113" s="2" t="s">
        <v>80</v>
      </c>
      <c r="N113" s="2" t="s">
        <v>173</v>
      </c>
      <c r="O113" s="1" t="s">
        <v>601</v>
      </c>
      <c r="P113" s="1" t="s">
        <v>24</v>
      </c>
      <c r="Q113" s="1" t="s">
        <v>772</v>
      </c>
      <c r="R113" s="1" t="s">
        <v>43</v>
      </c>
      <c r="S113" s="1" t="s">
        <v>44</v>
      </c>
      <c r="W113" s="19"/>
      <c r="X113" s="18" t="str">
        <f t="shared" si="1"/>
        <v/>
      </c>
      <c r="Y113" s="19"/>
    </row>
    <row r="114" spans="1:25" ht="13.5" customHeight="1" x14ac:dyDescent="0.2">
      <c r="A114" s="1">
        <v>87625498752</v>
      </c>
      <c r="B114" s="1" t="s">
        <v>220</v>
      </c>
      <c r="C114" s="1" t="s">
        <v>20</v>
      </c>
      <c r="D114" s="1">
        <v>1234</v>
      </c>
      <c r="E114" s="17" t="s">
        <v>221</v>
      </c>
      <c r="F114" s="1">
        <v>50442260</v>
      </c>
      <c r="G114" s="2" t="s">
        <v>77</v>
      </c>
      <c r="H114" s="1" t="s">
        <v>21</v>
      </c>
      <c r="I114" s="1" t="s">
        <v>327</v>
      </c>
      <c r="J114" s="14">
        <v>-27695</v>
      </c>
      <c r="K114" s="2" t="s">
        <v>22</v>
      </c>
      <c r="L114" s="1" t="s">
        <v>23</v>
      </c>
      <c r="M114" s="2" t="s">
        <v>80</v>
      </c>
      <c r="N114" s="2" t="s">
        <v>174</v>
      </c>
      <c r="O114" s="1" t="s">
        <v>602</v>
      </c>
      <c r="P114" s="1" t="s">
        <v>24</v>
      </c>
      <c r="Q114" s="1" t="s">
        <v>772</v>
      </c>
      <c r="R114" s="1" t="s">
        <v>43</v>
      </c>
      <c r="S114" s="1" t="s">
        <v>44</v>
      </c>
      <c r="W114" s="19"/>
      <c r="X114" s="18" t="str">
        <f t="shared" si="1"/>
        <v/>
      </c>
      <c r="Y114" s="19"/>
    </row>
    <row r="115" spans="1:25" ht="13.5" customHeight="1" x14ac:dyDescent="0.2">
      <c r="A115" s="1">
        <v>87625498752</v>
      </c>
      <c r="B115" s="1" t="s">
        <v>220</v>
      </c>
      <c r="C115" s="1" t="s">
        <v>20</v>
      </c>
      <c r="D115" s="1">
        <v>1234</v>
      </c>
      <c r="E115" s="17" t="s">
        <v>221</v>
      </c>
      <c r="F115" s="1">
        <v>43112389</v>
      </c>
      <c r="G115" s="2" t="s">
        <v>77</v>
      </c>
      <c r="H115" s="1" t="s">
        <v>21</v>
      </c>
      <c r="I115" s="1" t="s">
        <v>328</v>
      </c>
      <c r="J115" s="14">
        <v>45513</v>
      </c>
      <c r="K115" s="2" t="s">
        <v>22</v>
      </c>
      <c r="L115" s="1" t="s">
        <v>23</v>
      </c>
      <c r="M115" s="2" t="s">
        <v>80</v>
      </c>
      <c r="N115" s="2" t="s">
        <v>175</v>
      </c>
      <c r="O115" s="1" t="s">
        <v>603</v>
      </c>
      <c r="P115" s="1" t="s">
        <v>24</v>
      </c>
      <c r="Q115" s="1" t="s">
        <v>772</v>
      </c>
      <c r="R115" s="1" t="s">
        <v>43</v>
      </c>
      <c r="S115" s="1" t="s">
        <v>44</v>
      </c>
      <c r="W115" s="19"/>
      <c r="X115" s="18" t="str">
        <f t="shared" si="1"/>
        <v/>
      </c>
      <c r="Y115" s="19"/>
    </row>
    <row r="116" spans="1:25" ht="13.5" customHeight="1" x14ac:dyDescent="0.2">
      <c r="A116" s="1">
        <v>87625498752</v>
      </c>
      <c r="B116" s="1" t="s">
        <v>220</v>
      </c>
      <c r="C116" s="1" t="s">
        <v>20</v>
      </c>
      <c r="D116" s="1">
        <v>1234</v>
      </c>
      <c r="E116" s="17" t="s">
        <v>221</v>
      </c>
      <c r="F116" s="1">
        <v>72963337</v>
      </c>
      <c r="G116" s="2" t="s">
        <v>77</v>
      </c>
      <c r="H116" s="1" t="s">
        <v>21</v>
      </c>
      <c r="I116" s="1" t="s">
        <v>329</v>
      </c>
      <c r="J116" s="14">
        <v>35805</v>
      </c>
      <c r="K116" s="2" t="s">
        <v>22</v>
      </c>
      <c r="L116" s="1" t="s">
        <v>23</v>
      </c>
      <c r="M116" s="2" t="s">
        <v>80</v>
      </c>
      <c r="N116" s="2" t="s">
        <v>62</v>
      </c>
      <c r="O116" s="1" t="s">
        <v>604</v>
      </c>
      <c r="P116" s="1" t="s">
        <v>24</v>
      </c>
      <c r="Q116" s="1" t="s">
        <v>772</v>
      </c>
      <c r="R116" s="1" t="s">
        <v>43</v>
      </c>
      <c r="S116" s="1" t="s">
        <v>44</v>
      </c>
      <c r="W116" s="19"/>
      <c r="X116" s="18" t="str">
        <f t="shared" si="1"/>
        <v/>
      </c>
      <c r="Y116" s="19"/>
    </row>
    <row r="117" spans="1:25" ht="13.5" customHeight="1" x14ac:dyDescent="0.2">
      <c r="A117" s="1">
        <v>87625498752</v>
      </c>
      <c r="B117" s="1" t="s">
        <v>220</v>
      </c>
      <c r="C117" s="1" t="s">
        <v>20</v>
      </c>
      <c r="D117" s="1">
        <v>1234</v>
      </c>
      <c r="E117" s="17" t="s">
        <v>221</v>
      </c>
      <c r="F117" s="1">
        <v>26209988</v>
      </c>
      <c r="G117" s="2" t="s">
        <v>77</v>
      </c>
      <c r="H117" s="1" t="s">
        <v>21</v>
      </c>
      <c r="I117" s="1" t="s">
        <v>330</v>
      </c>
      <c r="J117" s="14">
        <v>-17350</v>
      </c>
      <c r="K117" s="2" t="s">
        <v>22</v>
      </c>
      <c r="L117" s="1" t="s">
        <v>23</v>
      </c>
      <c r="M117" s="2" t="s">
        <v>80</v>
      </c>
      <c r="N117" s="2" t="s">
        <v>176</v>
      </c>
      <c r="O117" s="1" t="s">
        <v>605</v>
      </c>
      <c r="P117" s="1" t="s">
        <v>24</v>
      </c>
      <c r="Q117" s="1" t="s">
        <v>772</v>
      </c>
      <c r="R117" s="1" t="s">
        <v>43</v>
      </c>
      <c r="S117" s="1" t="s">
        <v>44</v>
      </c>
      <c r="W117" s="19"/>
      <c r="X117" s="18" t="str">
        <f t="shared" si="1"/>
        <v/>
      </c>
      <c r="Y117" s="19"/>
    </row>
    <row r="118" spans="1:25" ht="13.5" customHeight="1" x14ac:dyDescent="0.2">
      <c r="A118" s="1">
        <v>87625498752</v>
      </c>
      <c r="B118" s="1" t="s">
        <v>220</v>
      </c>
      <c r="C118" s="1" t="s">
        <v>20</v>
      </c>
      <c r="D118" s="1">
        <v>1234</v>
      </c>
      <c r="E118" s="17" t="s">
        <v>221</v>
      </c>
      <c r="F118" s="1">
        <v>19662790</v>
      </c>
      <c r="G118" s="2" t="s">
        <v>77</v>
      </c>
      <c r="H118" s="1" t="s">
        <v>21</v>
      </c>
      <c r="I118" s="1" t="s">
        <v>331</v>
      </c>
      <c r="J118" s="14">
        <v>-31146</v>
      </c>
      <c r="K118" s="2" t="s">
        <v>22</v>
      </c>
      <c r="L118" s="1" t="s">
        <v>23</v>
      </c>
      <c r="M118" s="2" t="s">
        <v>80</v>
      </c>
      <c r="N118" s="2" t="s">
        <v>177</v>
      </c>
      <c r="O118" s="1" t="s">
        <v>606</v>
      </c>
      <c r="P118" s="1" t="s">
        <v>24</v>
      </c>
      <c r="Q118" s="1" t="s">
        <v>772</v>
      </c>
      <c r="R118" s="1" t="s">
        <v>43</v>
      </c>
      <c r="S118" s="1" t="s">
        <v>44</v>
      </c>
      <c r="W118" s="19"/>
      <c r="X118" s="18" t="str">
        <f t="shared" si="1"/>
        <v/>
      </c>
      <c r="Y118" s="19"/>
    </row>
    <row r="119" spans="1:25" ht="13.5" customHeight="1" x14ac:dyDescent="0.2">
      <c r="A119" s="1">
        <v>87625498752</v>
      </c>
      <c r="B119" s="1" t="s">
        <v>220</v>
      </c>
      <c r="C119" s="1" t="s">
        <v>20</v>
      </c>
      <c r="D119" s="1">
        <v>1234</v>
      </c>
      <c r="E119" s="17" t="s">
        <v>221</v>
      </c>
      <c r="F119" s="1">
        <v>56203660</v>
      </c>
      <c r="G119" s="2" t="s">
        <v>77</v>
      </c>
      <c r="H119" s="1" t="s">
        <v>21</v>
      </c>
      <c r="I119" s="1" t="s">
        <v>332</v>
      </c>
      <c r="J119" s="14">
        <v>5478</v>
      </c>
      <c r="K119" s="2" t="s">
        <v>22</v>
      </c>
      <c r="L119" s="1" t="s">
        <v>23</v>
      </c>
      <c r="M119" s="2" t="s">
        <v>80</v>
      </c>
      <c r="N119" s="2" t="s">
        <v>65</v>
      </c>
      <c r="O119" s="1" t="s">
        <v>607</v>
      </c>
      <c r="P119" s="1" t="s">
        <v>24</v>
      </c>
      <c r="Q119" s="1" t="s">
        <v>772</v>
      </c>
      <c r="R119" s="1" t="s">
        <v>43</v>
      </c>
      <c r="S119" s="1" t="s">
        <v>44</v>
      </c>
      <c r="W119" s="19"/>
      <c r="X119" s="18" t="str">
        <f t="shared" si="1"/>
        <v/>
      </c>
      <c r="Y119" s="19"/>
    </row>
    <row r="120" spans="1:25" ht="13.5" customHeight="1" x14ac:dyDescent="0.2">
      <c r="A120" s="1">
        <v>87625498752</v>
      </c>
      <c r="B120" s="1" t="s">
        <v>220</v>
      </c>
      <c r="C120" s="1" t="s">
        <v>20</v>
      </c>
      <c r="D120" s="1">
        <v>1234</v>
      </c>
      <c r="E120" s="17" t="s">
        <v>221</v>
      </c>
      <c r="F120" s="1">
        <v>50419167</v>
      </c>
      <c r="G120" s="2" t="s">
        <v>77</v>
      </c>
      <c r="H120" s="1" t="s">
        <v>21</v>
      </c>
      <c r="I120" s="1" t="s">
        <v>333</v>
      </c>
      <c r="J120" s="14">
        <v>-5272</v>
      </c>
      <c r="K120" s="2" t="s">
        <v>22</v>
      </c>
      <c r="L120" s="1" t="s">
        <v>23</v>
      </c>
      <c r="M120" s="2" t="s">
        <v>80</v>
      </c>
      <c r="N120" s="2" t="s">
        <v>178</v>
      </c>
      <c r="O120" s="1" t="s">
        <v>608</v>
      </c>
      <c r="P120" s="1" t="s">
        <v>24</v>
      </c>
      <c r="Q120" s="1" t="s">
        <v>772</v>
      </c>
      <c r="R120" s="1" t="s">
        <v>43</v>
      </c>
      <c r="S120" s="1" t="s">
        <v>44</v>
      </c>
      <c r="W120" s="19"/>
      <c r="X120" s="18" t="str">
        <f t="shared" si="1"/>
        <v/>
      </c>
      <c r="Y120" s="19"/>
    </row>
    <row r="121" spans="1:25" ht="13.5" customHeight="1" x14ac:dyDescent="0.2">
      <c r="A121" s="1">
        <v>87625498752</v>
      </c>
      <c r="B121" s="1" t="s">
        <v>220</v>
      </c>
      <c r="C121" s="1" t="s">
        <v>20</v>
      </c>
      <c r="D121" s="1">
        <v>1234</v>
      </c>
      <c r="E121" s="17" t="s">
        <v>221</v>
      </c>
      <c r="F121" s="1">
        <v>58798122</v>
      </c>
      <c r="G121" s="2" t="s">
        <v>77</v>
      </c>
      <c r="H121" s="1" t="s">
        <v>21</v>
      </c>
      <c r="I121" s="1" t="s">
        <v>334</v>
      </c>
      <c r="J121" s="14">
        <v>-27071</v>
      </c>
      <c r="K121" s="2" t="s">
        <v>22</v>
      </c>
      <c r="L121" s="1" t="s">
        <v>23</v>
      </c>
      <c r="M121" s="2" t="s">
        <v>80</v>
      </c>
      <c r="N121" s="2" t="s">
        <v>179</v>
      </c>
      <c r="O121" s="1" t="s">
        <v>609</v>
      </c>
      <c r="P121" s="1" t="s">
        <v>24</v>
      </c>
      <c r="Q121" s="1" t="s">
        <v>772</v>
      </c>
      <c r="R121" s="1" t="s">
        <v>43</v>
      </c>
      <c r="S121" s="1" t="s">
        <v>44</v>
      </c>
      <c r="W121" s="19"/>
      <c r="X121" s="18" t="str">
        <f t="shared" si="1"/>
        <v/>
      </c>
      <c r="Y121" s="19"/>
    </row>
    <row r="122" spans="1:25" ht="13.5" customHeight="1" x14ac:dyDescent="0.2">
      <c r="A122" s="1">
        <v>87625498752</v>
      </c>
      <c r="B122" s="1" t="s">
        <v>220</v>
      </c>
      <c r="C122" s="1" t="s">
        <v>20</v>
      </c>
      <c r="D122" s="1">
        <v>1234</v>
      </c>
      <c r="E122" s="17" t="s">
        <v>221</v>
      </c>
      <c r="F122" s="1">
        <v>85437891</v>
      </c>
      <c r="G122" s="2" t="s">
        <v>77</v>
      </c>
      <c r="H122" s="1" t="s">
        <v>21</v>
      </c>
      <c r="I122" s="1" t="s">
        <v>335</v>
      </c>
      <c r="J122" s="14">
        <v>-35199</v>
      </c>
      <c r="K122" s="2" t="s">
        <v>22</v>
      </c>
      <c r="L122" s="1" t="s">
        <v>23</v>
      </c>
      <c r="M122" s="2" t="s">
        <v>80</v>
      </c>
      <c r="N122" s="2" t="s">
        <v>66</v>
      </c>
      <c r="O122" s="1" t="s">
        <v>610</v>
      </c>
      <c r="P122" s="1" t="s">
        <v>24</v>
      </c>
      <c r="Q122" s="1" t="s">
        <v>772</v>
      </c>
      <c r="R122" s="1" t="s">
        <v>43</v>
      </c>
      <c r="S122" s="1" t="s">
        <v>44</v>
      </c>
      <c r="W122" s="19"/>
      <c r="X122" s="18" t="str">
        <f t="shared" si="1"/>
        <v/>
      </c>
      <c r="Y122" s="19"/>
    </row>
    <row r="123" spans="1:25" ht="13.5" customHeight="1" x14ac:dyDescent="0.2">
      <c r="A123" s="1">
        <v>87625498752</v>
      </c>
      <c r="B123" s="1" t="s">
        <v>220</v>
      </c>
      <c r="C123" s="1" t="s">
        <v>20</v>
      </c>
      <c r="D123" s="1">
        <v>1234</v>
      </c>
      <c r="E123" s="17" t="s">
        <v>221</v>
      </c>
      <c r="F123" s="1">
        <v>25753926</v>
      </c>
      <c r="G123" s="2" t="s">
        <v>77</v>
      </c>
      <c r="H123" s="1" t="s">
        <v>21</v>
      </c>
      <c r="I123" s="1" t="s">
        <v>336</v>
      </c>
      <c r="J123" s="14">
        <v>-4108</v>
      </c>
      <c r="K123" s="2" t="s">
        <v>22</v>
      </c>
      <c r="L123" s="1" t="s">
        <v>23</v>
      </c>
      <c r="M123" s="2" t="s">
        <v>80</v>
      </c>
      <c r="N123" s="2" t="s">
        <v>54</v>
      </c>
      <c r="O123" s="1" t="s">
        <v>611</v>
      </c>
      <c r="P123" s="1" t="s">
        <v>24</v>
      </c>
      <c r="Q123" s="1" t="s">
        <v>772</v>
      </c>
      <c r="R123" s="1" t="s">
        <v>43</v>
      </c>
      <c r="S123" s="1" t="s">
        <v>44</v>
      </c>
      <c r="W123" s="19"/>
      <c r="X123" s="18" t="str">
        <f t="shared" si="1"/>
        <v/>
      </c>
      <c r="Y123" s="19"/>
    </row>
    <row r="124" spans="1:25" ht="13.5" customHeight="1" x14ac:dyDescent="0.2">
      <c r="A124" s="1">
        <v>87625498752</v>
      </c>
      <c r="B124" s="1" t="s">
        <v>220</v>
      </c>
      <c r="C124" s="1" t="s">
        <v>20</v>
      </c>
      <c r="D124" s="1">
        <v>1234</v>
      </c>
      <c r="E124" s="17" t="s">
        <v>221</v>
      </c>
      <c r="F124" s="1">
        <v>55182285</v>
      </c>
      <c r="G124" s="2" t="s">
        <v>77</v>
      </c>
      <c r="H124" s="1" t="s">
        <v>21</v>
      </c>
      <c r="I124" s="1" t="s">
        <v>337</v>
      </c>
      <c r="J124" s="14">
        <v>-5359</v>
      </c>
      <c r="K124" s="2" t="s">
        <v>22</v>
      </c>
      <c r="L124" s="1" t="s">
        <v>23</v>
      </c>
      <c r="M124" s="2" t="s">
        <v>80</v>
      </c>
      <c r="N124" s="2" t="s">
        <v>54</v>
      </c>
      <c r="O124" s="1" t="s">
        <v>612</v>
      </c>
      <c r="P124" s="1" t="s">
        <v>24</v>
      </c>
      <c r="Q124" s="1" t="s">
        <v>772</v>
      </c>
      <c r="R124" s="1" t="s">
        <v>43</v>
      </c>
      <c r="S124" s="1" t="s">
        <v>44</v>
      </c>
      <c r="W124" s="19"/>
      <c r="X124" s="18" t="str">
        <f t="shared" si="1"/>
        <v/>
      </c>
      <c r="Y124" s="19"/>
    </row>
    <row r="125" spans="1:25" ht="13.5" customHeight="1" x14ac:dyDescent="0.2">
      <c r="A125" s="1">
        <v>87625498752</v>
      </c>
      <c r="B125" s="1" t="s">
        <v>220</v>
      </c>
      <c r="C125" s="1" t="s">
        <v>20</v>
      </c>
      <c r="D125" s="1">
        <v>1234</v>
      </c>
      <c r="E125" s="17" t="s">
        <v>221</v>
      </c>
      <c r="F125" s="1">
        <v>67346481</v>
      </c>
      <c r="G125" s="2" t="s">
        <v>77</v>
      </c>
      <c r="H125" s="1" t="s">
        <v>21</v>
      </c>
      <c r="I125" s="1" t="s">
        <v>338</v>
      </c>
      <c r="J125" s="14">
        <v>-10142</v>
      </c>
      <c r="K125" s="2" t="s">
        <v>22</v>
      </c>
      <c r="L125" s="1" t="s">
        <v>23</v>
      </c>
      <c r="M125" s="2" t="s">
        <v>80</v>
      </c>
      <c r="N125" s="2" t="s">
        <v>125</v>
      </c>
      <c r="O125" s="1" t="s">
        <v>613</v>
      </c>
      <c r="P125" s="1" t="s">
        <v>24</v>
      </c>
      <c r="Q125" s="1" t="s">
        <v>772</v>
      </c>
      <c r="R125" s="1" t="s">
        <v>43</v>
      </c>
      <c r="S125" s="1" t="s">
        <v>44</v>
      </c>
      <c r="W125" s="19"/>
      <c r="X125" s="18" t="str">
        <f t="shared" si="1"/>
        <v/>
      </c>
      <c r="Y125" s="19"/>
    </row>
    <row r="126" spans="1:25" ht="13.5" customHeight="1" x14ac:dyDescent="0.2">
      <c r="A126" s="1">
        <v>87625498752</v>
      </c>
      <c r="B126" s="1" t="s">
        <v>220</v>
      </c>
      <c r="C126" s="1" t="s">
        <v>20</v>
      </c>
      <c r="D126" s="1">
        <v>1234</v>
      </c>
      <c r="E126" s="17" t="s">
        <v>221</v>
      </c>
      <c r="F126" s="1">
        <v>71859789</v>
      </c>
      <c r="G126" s="2" t="s">
        <v>77</v>
      </c>
      <c r="H126" s="1" t="s">
        <v>21</v>
      </c>
      <c r="I126" s="1" t="s">
        <v>339</v>
      </c>
      <c r="J126" s="14">
        <v>14061</v>
      </c>
      <c r="K126" s="2" t="s">
        <v>22</v>
      </c>
      <c r="L126" s="1" t="s">
        <v>23</v>
      </c>
      <c r="M126" s="2" t="s">
        <v>80</v>
      </c>
      <c r="N126" s="2" t="s">
        <v>180</v>
      </c>
      <c r="O126" s="1" t="s">
        <v>614</v>
      </c>
      <c r="P126" s="1" t="s">
        <v>24</v>
      </c>
      <c r="Q126" s="1" t="s">
        <v>772</v>
      </c>
      <c r="R126" s="1" t="s">
        <v>43</v>
      </c>
      <c r="S126" s="1" t="s">
        <v>44</v>
      </c>
      <c r="W126" s="19"/>
      <c r="X126" s="18" t="str">
        <f t="shared" si="1"/>
        <v/>
      </c>
      <c r="Y126" s="19"/>
    </row>
    <row r="127" spans="1:25" ht="13.5" customHeight="1" x14ac:dyDescent="0.2">
      <c r="A127" s="1">
        <v>87625498752</v>
      </c>
      <c r="B127" s="1" t="s">
        <v>220</v>
      </c>
      <c r="C127" s="1" t="s">
        <v>20</v>
      </c>
      <c r="D127" s="1">
        <v>1234</v>
      </c>
      <c r="E127" s="17" t="s">
        <v>221</v>
      </c>
      <c r="F127" s="1">
        <v>93463417</v>
      </c>
      <c r="G127" s="2" t="s">
        <v>77</v>
      </c>
      <c r="H127" s="1" t="s">
        <v>21</v>
      </c>
      <c r="I127" s="1" t="s">
        <v>340</v>
      </c>
      <c r="J127" s="14">
        <v>38593</v>
      </c>
      <c r="K127" s="2" t="s">
        <v>22</v>
      </c>
      <c r="L127" s="1" t="s">
        <v>23</v>
      </c>
      <c r="M127" s="2" t="s">
        <v>80</v>
      </c>
      <c r="N127" s="2" t="s">
        <v>93</v>
      </c>
      <c r="O127" s="1" t="s">
        <v>615</v>
      </c>
      <c r="P127" s="1" t="s">
        <v>24</v>
      </c>
      <c r="Q127" s="1" t="s">
        <v>772</v>
      </c>
      <c r="R127" s="1" t="s">
        <v>43</v>
      </c>
      <c r="S127" s="1" t="s">
        <v>44</v>
      </c>
      <c r="W127" s="19"/>
      <c r="X127" s="18" t="str">
        <f t="shared" si="1"/>
        <v/>
      </c>
      <c r="Y127" s="19"/>
    </row>
    <row r="128" spans="1:25" ht="13.5" customHeight="1" x14ac:dyDescent="0.2">
      <c r="A128" s="1">
        <v>87625498752</v>
      </c>
      <c r="B128" s="1" t="s">
        <v>220</v>
      </c>
      <c r="C128" s="1" t="s">
        <v>20</v>
      </c>
      <c r="D128" s="1">
        <v>1234</v>
      </c>
      <c r="E128" s="17" t="s">
        <v>221</v>
      </c>
      <c r="F128" s="1">
        <v>56925999</v>
      </c>
      <c r="G128" s="2" t="s">
        <v>77</v>
      </c>
      <c r="H128" s="1" t="s">
        <v>21</v>
      </c>
      <c r="I128" s="1" t="s">
        <v>341</v>
      </c>
      <c r="J128" s="14">
        <v>49779</v>
      </c>
      <c r="K128" s="2" t="s">
        <v>22</v>
      </c>
      <c r="L128" s="1" t="s">
        <v>23</v>
      </c>
      <c r="M128" s="2" t="s">
        <v>80</v>
      </c>
      <c r="N128" s="2" t="s">
        <v>181</v>
      </c>
      <c r="O128" s="1" t="s">
        <v>616</v>
      </c>
      <c r="P128" s="1" t="s">
        <v>24</v>
      </c>
      <c r="Q128" s="1" t="s">
        <v>772</v>
      </c>
      <c r="R128" s="1" t="s">
        <v>43</v>
      </c>
      <c r="S128" s="1" t="s">
        <v>44</v>
      </c>
      <c r="W128" s="19"/>
      <c r="X128" s="18" t="str">
        <f t="shared" si="1"/>
        <v/>
      </c>
      <c r="Y128" s="19"/>
    </row>
    <row r="129" spans="1:25" ht="13.5" customHeight="1" x14ac:dyDescent="0.2">
      <c r="A129" s="1">
        <v>87625498752</v>
      </c>
      <c r="B129" s="1" t="s">
        <v>220</v>
      </c>
      <c r="C129" s="1" t="s">
        <v>20</v>
      </c>
      <c r="D129" s="1">
        <v>1234</v>
      </c>
      <c r="E129" s="17" t="s">
        <v>221</v>
      </c>
      <c r="F129" s="1">
        <v>65298864</v>
      </c>
      <c r="G129" s="2" t="s">
        <v>77</v>
      </c>
      <c r="H129" s="1" t="s">
        <v>21</v>
      </c>
      <c r="I129" s="1" t="s">
        <v>342</v>
      </c>
      <c r="J129" s="14">
        <v>42433</v>
      </c>
      <c r="K129" s="2" t="s">
        <v>22</v>
      </c>
      <c r="L129" s="1" t="s">
        <v>23</v>
      </c>
      <c r="M129" s="2" t="s">
        <v>80</v>
      </c>
      <c r="N129" s="2" t="s">
        <v>50</v>
      </c>
      <c r="O129" s="1" t="s">
        <v>617</v>
      </c>
      <c r="P129" s="1" t="s">
        <v>24</v>
      </c>
      <c r="Q129" s="1" t="s">
        <v>772</v>
      </c>
      <c r="R129" s="1" t="s">
        <v>43</v>
      </c>
      <c r="S129" s="1" t="s">
        <v>44</v>
      </c>
      <c r="W129" s="19"/>
      <c r="X129" s="18" t="str">
        <f t="shared" si="1"/>
        <v/>
      </c>
      <c r="Y129" s="19"/>
    </row>
    <row r="130" spans="1:25" ht="13.5" customHeight="1" x14ac:dyDescent="0.2">
      <c r="A130" s="1">
        <v>87625498752</v>
      </c>
      <c r="B130" s="1" t="s">
        <v>220</v>
      </c>
      <c r="C130" s="1" t="s">
        <v>20</v>
      </c>
      <c r="D130" s="1">
        <v>1234</v>
      </c>
      <c r="E130" s="17" t="s">
        <v>221</v>
      </c>
      <c r="F130" s="1">
        <v>79443624</v>
      </c>
      <c r="G130" s="2" t="s">
        <v>77</v>
      </c>
      <c r="H130" s="1" t="s">
        <v>21</v>
      </c>
      <c r="I130" s="1" t="s">
        <v>343</v>
      </c>
      <c r="J130" s="14">
        <v>36987</v>
      </c>
      <c r="K130" s="2" t="s">
        <v>22</v>
      </c>
      <c r="L130" s="1" t="s">
        <v>23</v>
      </c>
      <c r="M130" s="2" t="s">
        <v>80</v>
      </c>
      <c r="N130" s="2" t="s">
        <v>111</v>
      </c>
      <c r="O130" s="1" t="s">
        <v>618</v>
      </c>
      <c r="P130" s="1" t="s">
        <v>24</v>
      </c>
      <c r="Q130" s="1" t="s">
        <v>772</v>
      </c>
      <c r="R130" s="1" t="s">
        <v>43</v>
      </c>
      <c r="S130" s="1" t="s">
        <v>44</v>
      </c>
      <c r="W130" s="19"/>
      <c r="X130" s="18" t="str">
        <f t="shared" si="1"/>
        <v/>
      </c>
      <c r="Y130" s="19"/>
    </row>
    <row r="131" spans="1:25" ht="13.5" customHeight="1" x14ac:dyDescent="0.2">
      <c r="A131" s="1">
        <v>87625498752</v>
      </c>
      <c r="B131" s="1" t="s">
        <v>220</v>
      </c>
      <c r="C131" s="1" t="s">
        <v>20</v>
      </c>
      <c r="D131" s="1">
        <v>1234</v>
      </c>
      <c r="E131" s="17" t="s">
        <v>221</v>
      </c>
      <c r="F131" s="1">
        <v>72545298</v>
      </c>
      <c r="G131" s="2" t="s">
        <v>77</v>
      </c>
      <c r="H131" s="1" t="s">
        <v>21</v>
      </c>
      <c r="I131" s="1" t="s">
        <v>344</v>
      </c>
      <c r="J131" s="14">
        <v>-20984</v>
      </c>
      <c r="K131" s="2" t="s">
        <v>22</v>
      </c>
      <c r="L131" s="1" t="s">
        <v>23</v>
      </c>
      <c r="M131" s="2" t="s">
        <v>80</v>
      </c>
      <c r="N131" s="2" t="s">
        <v>58</v>
      </c>
      <c r="O131" s="1" t="s">
        <v>619</v>
      </c>
      <c r="P131" s="1" t="s">
        <v>24</v>
      </c>
      <c r="Q131" s="1" t="s">
        <v>772</v>
      </c>
      <c r="R131" s="1" t="s">
        <v>43</v>
      </c>
      <c r="S131" s="1" t="s">
        <v>44</v>
      </c>
      <c r="W131" s="19"/>
      <c r="X131" s="18" t="str">
        <f t="shared" si="1"/>
        <v/>
      </c>
      <c r="Y131" s="19"/>
    </row>
    <row r="132" spans="1:25" ht="13.5" customHeight="1" x14ac:dyDescent="0.2">
      <c r="A132" s="1">
        <v>87625498752</v>
      </c>
      <c r="B132" s="1" t="s">
        <v>220</v>
      </c>
      <c r="C132" s="1" t="s">
        <v>20</v>
      </c>
      <c r="D132" s="1">
        <v>1234</v>
      </c>
      <c r="E132" s="17" t="s">
        <v>221</v>
      </c>
      <c r="F132" s="1">
        <v>57598072</v>
      </c>
      <c r="G132" s="2" t="s">
        <v>77</v>
      </c>
      <c r="H132" s="1" t="s">
        <v>21</v>
      </c>
      <c r="I132" s="1" t="s">
        <v>345</v>
      </c>
      <c r="J132" s="14">
        <v>41915</v>
      </c>
      <c r="K132" s="2" t="s">
        <v>22</v>
      </c>
      <c r="L132" s="1" t="s">
        <v>23</v>
      </c>
      <c r="M132" s="2" t="s">
        <v>80</v>
      </c>
      <c r="N132" s="2" t="s">
        <v>182</v>
      </c>
      <c r="O132" s="1" t="s">
        <v>620</v>
      </c>
      <c r="P132" s="1" t="s">
        <v>24</v>
      </c>
      <c r="Q132" s="1" t="s">
        <v>772</v>
      </c>
      <c r="R132" s="1" t="s">
        <v>43</v>
      </c>
      <c r="S132" s="1" t="s">
        <v>44</v>
      </c>
      <c r="W132" s="19"/>
      <c r="X132" s="18" t="str">
        <f t="shared" si="1"/>
        <v/>
      </c>
      <c r="Y132" s="19"/>
    </row>
    <row r="133" spans="1:25" ht="13.5" customHeight="1" x14ac:dyDescent="0.2">
      <c r="A133" s="1">
        <v>87625498752</v>
      </c>
      <c r="B133" s="1" t="s">
        <v>220</v>
      </c>
      <c r="C133" s="1" t="s">
        <v>20</v>
      </c>
      <c r="D133" s="1">
        <v>1234</v>
      </c>
      <c r="E133" s="17" t="s">
        <v>221</v>
      </c>
      <c r="F133" s="1">
        <v>34045961</v>
      </c>
      <c r="G133" s="2" t="s">
        <v>77</v>
      </c>
      <c r="H133" s="1" t="s">
        <v>21</v>
      </c>
      <c r="I133" s="1" t="s">
        <v>346</v>
      </c>
      <c r="J133" s="14">
        <v>-9487</v>
      </c>
      <c r="K133" s="2" t="s">
        <v>22</v>
      </c>
      <c r="L133" s="1" t="s">
        <v>23</v>
      </c>
      <c r="M133" s="2" t="s">
        <v>80</v>
      </c>
      <c r="N133" s="2" t="s">
        <v>183</v>
      </c>
      <c r="O133" s="1" t="s">
        <v>621</v>
      </c>
      <c r="P133" s="1" t="s">
        <v>24</v>
      </c>
      <c r="Q133" s="1" t="s">
        <v>772</v>
      </c>
      <c r="R133" s="1" t="s">
        <v>43</v>
      </c>
      <c r="S133" s="1" t="s">
        <v>44</v>
      </c>
      <c r="W133" s="19"/>
      <c r="X133" s="18" t="str">
        <f t="shared" si="1"/>
        <v/>
      </c>
      <c r="Y133" s="19"/>
    </row>
    <row r="134" spans="1:25" ht="13.5" customHeight="1" x14ac:dyDescent="0.2">
      <c r="A134" s="1">
        <v>87625498752</v>
      </c>
      <c r="B134" s="1" t="s">
        <v>220</v>
      </c>
      <c r="C134" s="1" t="s">
        <v>20</v>
      </c>
      <c r="D134" s="1">
        <v>1234</v>
      </c>
      <c r="E134" s="17" t="s">
        <v>221</v>
      </c>
      <c r="F134" s="1">
        <v>54414496</v>
      </c>
      <c r="G134" s="2" t="s">
        <v>77</v>
      </c>
      <c r="H134" s="1" t="s">
        <v>21</v>
      </c>
      <c r="I134" s="1" t="s">
        <v>347</v>
      </c>
      <c r="J134" s="14">
        <v>32907</v>
      </c>
      <c r="K134" s="2" t="s">
        <v>22</v>
      </c>
      <c r="L134" s="1" t="s">
        <v>23</v>
      </c>
      <c r="M134" s="2" t="s">
        <v>80</v>
      </c>
      <c r="N134" s="2" t="s">
        <v>184</v>
      </c>
      <c r="O134" s="1" t="s">
        <v>622</v>
      </c>
      <c r="P134" s="1" t="s">
        <v>24</v>
      </c>
      <c r="Q134" s="1" t="s">
        <v>772</v>
      </c>
      <c r="R134" s="1" t="s">
        <v>43</v>
      </c>
      <c r="S134" s="1" t="s">
        <v>44</v>
      </c>
      <c r="W134" s="19"/>
      <c r="X134" s="18" t="str">
        <f t="shared" si="1"/>
        <v/>
      </c>
      <c r="Y134" s="19"/>
    </row>
    <row r="135" spans="1:25" ht="13.5" customHeight="1" x14ac:dyDescent="0.2">
      <c r="A135" s="1">
        <v>87625498752</v>
      </c>
      <c r="B135" s="1" t="s">
        <v>220</v>
      </c>
      <c r="C135" s="1" t="s">
        <v>20</v>
      </c>
      <c r="D135" s="1">
        <v>1234</v>
      </c>
      <c r="E135" s="17" t="s">
        <v>221</v>
      </c>
      <c r="F135" s="1">
        <v>25730349</v>
      </c>
      <c r="G135" s="2" t="s">
        <v>77</v>
      </c>
      <c r="H135" s="1" t="s">
        <v>21</v>
      </c>
      <c r="I135" s="1" t="s">
        <v>348</v>
      </c>
      <c r="J135" s="14">
        <v>1750</v>
      </c>
      <c r="K135" s="2" t="s">
        <v>22</v>
      </c>
      <c r="L135" s="1" t="s">
        <v>23</v>
      </c>
      <c r="M135" s="2" t="s">
        <v>80</v>
      </c>
      <c r="N135" s="2" t="s">
        <v>185</v>
      </c>
      <c r="O135" s="1" t="s">
        <v>623</v>
      </c>
      <c r="P135" s="1" t="s">
        <v>24</v>
      </c>
      <c r="Q135" s="1" t="s">
        <v>772</v>
      </c>
      <c r="R135" s="1" t="s">
        <v>43</v>
      </c>
      <c r="S135" s="1" t="s">
        <v>44</v>
      </c>
      <c r="W135" s="19"/>
      <c r="X135" s="18" t="str">
        <f t="shared" si="1"/>
        <v/>
      </c>
      <c r="Y135" s="19"/>
    </row>
    <row r="136" spans="1:25" ht="13.5" customHeight="1" x14ac:dyDescent="0.2">
      <c r="A136" s="1">
        <v>87625498752</v>
      </c>
      <c r="B136" s="1" t="s">
        <v>220</v>
      </c>
      <c r="C136" s="1" t="s">
        <v>20</v>
      </c>
      <c r="D136" s="1">
        <v>1234</v>
      </c>
      <c r="E136" s="17" t="s">
        <v>221</v>
      </c>
      <c r="F136" s="1">
        <v>34351827</v>
      </c>
      <c r="G136" s="2" t="s">
        <v>77</v>
      </c>
      <c r="H136" s="1" t="s">
        <v>21</v>
      </c>
      <c r="I136" s="1" t="s">
        <v>349</v>
      </c>
      <c r="J136" s="14">
        <v>-27227</v>
      </c>
      <c r="K136" s="2" t="s">
        <v>22</v>
      </c>
      <c r="L136" s="1" t="s">
        <v>23</v>
      </c>
      <c r="M136" s="2" t="s">
        <v>80</v>
      </c>
      <c r="N136" s="2" t="s">
        <v>186</v>
      </c>
      <c r="O136" s="1" t="s">
        <v>624</v>
      </c>
      <c r="P136" s="1" t="s">
        <v>24</v>
      </c>
      <c r="Q136" s="1" t="s">
        <v>772</v>
      </c>
      <c r="R136" s="1" t="s">
        <v>43</v>
      </c>
      <c r="S136" s="1" t="s">
        <v>44</v>
      </c>
      <c r="W136" s="19"/>
      <c r="X136" s="18" t="str">
        <f t="shared" si="1"/>
        <v/>
      </c>
      <c r="Y136" s="19"/>
    </row>
    <row r="137" spans="1:25" ht="13.5" customHeight="1" x14ac:dyDescent="0.2">
      <c r="A137" s="1">
        <v>87625498752</v>
      </c>
      <c r="B137" s="1" t="s">
        <v>220</v>
      </c>
      <c r="C137" s="1" t="s">
        <v>20</v>
      </c>
      <c r="D137" s="1">
        <v>1234</v>
      </c>
      <c r="E137" s="17" t="s">
        <v>221</v>
      </c>
      <c r="F137" s="1">
        <v>73264333</v>
      </c>
      <c r="G137" s="2" t="s">
        <v>77</v>
      </c>
      <c r="H137" s="1" t="s">
        <v>21</v>
      </c>
      <c r="I137" s="1" t="s">
        <v>350</v>
      </c>
      <c r="J137" s="14">
        <v>29517</v>
      </c>
      <c r="K137" s="2" t="s">
        <v>22</v>
      </c>
      <c r="L137" s="1" t="s">
        <v>23</v>
      </c>
      <c r="M137" s="2" t="s">
        <v>80</v>
      </c>
      <c r="N137" s="2" t="s">
        <v>187</v>
      </c>
      <c r="O137" s="1" t="s">
        <v>625</v>
      </c>
      <c r="P137" s="1" t="s">
        <v>24</v>
      </c>
      <c r="Q137" s="1" t="s">
        <v>772</v>
      </c>
      <c r="R137" s="1" t="s">
        <v>43</v>
      </c>
      <c r="S137" s="1" t="s">
        <v>44</v>
      </c>
      <c r="W137" s="19"/>
      <c r="X137" s="18" t="str">
        <f t="shared" si="1"/>
        <v/>
      </c>
      <c r="Y137" s="19"/>
    </row>
    <row r="138" spans="1:25" ht="13.5" customHeight="1" x14ac:dyDescent="0.2">
      <c r="A138" s="1">
        <v>87625498752</v>
      </c>
      <c r="B138" s="1" t="s">
        <v>220</v>
      </c>
      <c r="C138" s="1" t="s">
        <v>20</v>
      </c>
      <c r="D138" s="1">
        <v>1234</v>
      </c>
      <c r="E138" s="17" t="s">
        <v>221</v>
      </c>
      <c r="F138" s="1">
        <v>45620509</v>
      </c>
      <c r="G138" s="2" t="s">
        <v>77</v>
      </c>
      <c r="H138" s="1" t="s">
        <v>21</v>
      </c>
      <c r="I138" s="1" t="s">
        <v>351</v>
      </c>
      <c r="J138" s="14">
        <v>35085</v>
      </c>
      <c r="K138" s="2" t="s">
        <v>22</v>
      </c>
      <c r="L138" s="1" t="s">
        <v>23</v>
      </c>
      <c r="M138" s="2" t="s">
        <v>80</v>
      </c>
      <c r="N138" s="2" t="s">
        <v>70</v>
      </c>
      <c r="O138" s="1" t="s">
        <v>626</v>
      </c>
      <c r="P138" s="1" t="s">
        <v>24</v>
      </c>
      <c r="Q138" s="1" t="s">
        <v>772</v>
      </c>
      <c r="R138" s="1" t="s">
        <v>43</v>
      </c>
      <c r="S138" s="1" t="s">
        <v>44</v>
      </c>
      <c r="W138" s="19"/>
      <c r="X138" s="18" t="str">
        <f t="shared" ref="X138:X201" si="2">IF(D138="0001","3rd Party","")</f>
        <v/>
      </c>
      <c r="Y138" s="19"/>
    </row>
    <row r="139" spans="1:25" ht="13.5" customHeight="1" x14ac:dyDescent="0.2">
      <c r="A139" s="1">
        <v>87625498752</v>
      </c>
      <c r="B139" s="1" t="s">
        <v>220</v>
      </c>
      <c r="C139" s="1" t="s">
        <v>20</v>
      </c>
      <c r="D139" s="1">
        <v>1234</v>
      </c>
      <c r="E139" s="17" t="s">
        <v>221</v>
      </c>
      <c r="F139" s="1">
        <v>30490115</v>
      </c>
      <c r="G139" s="2" t="s">
        <v>77</v>
      </c>
      <c r="H139" s="1" t="s">
        <v>21</v>
      </c>
      <c r="I139" s="1" t="s">
        <v>352</v>
      </c>
      <c r="J139" s="14">
        <v>41965</v>
      </c>
      <c r="K139" s="2" t="s">
        <v>22</v>
      </c>
      <c r="L139" s="1" t="s">
        <v>23</v>
      </c>
      <c r="M139" s="2" t="s">
        <v>80</v>
      </c>
      <c r="N139" s="2" t="s">
        <v>188</v>
      </c>
      <c r="O139" s="1" t="s">
        <v>627</v>
      </c>
      <c r="P139" s="1" t="s">
        <v>24</v>
      </c>
      <c r="Q139" s="1" t="s">
        <v>772</v>
      </c>
      <c r="R139" s="1" t="s">
        <v>43</v>
      </c>
      <c r="S139" s="1" t="s">
        <v>44</v>
      </c>
      <c r="W139" s="19"/>
      <c r="X139" s="18" t="str">
        <f t="shared" si="2"/>
        <v/>
      </c>
      <c r="Y139" s="19"/>
    </row>
    <row r="140" spans="1:25" ht="13.5" customHeight="1" x14ac:dyDescent="0.2">
      <c r="A140" s="1">
        <v>87625498752</v>
      </c>
      <c r="B140" s="1" t="s">
        <v>220</v>
      </c>
      <c r="C140" s="1" t="s">
        <v>20</v>
      </c>
      <c r="D140" s="1">
        <v>1234</v>
      </c>
      <c r="E140" s="17" t="s">
        <v>221</v>
      </c>
      <c r="F140" s="1">
        <v>47684641</v>
      </c>
      <c r="G140" s="2" t="s">
        <v>77</v>
      </c>
      <c r="H140" s="1" t="s">
        <v>21</v>
      </c>
      <c r="I140" s="1" t="s">
        <v>353</v>
      </c>
      <c r="J140" s="14">
        <v>12173</v>
      </c>
      <c r="K140" s="2" t="s">
        <v>22</v>
      </c>
      <c r="L140" s="1" t="s">
        <v>23</v>
      </c>
      <c r="M140" s="2" t="s">
        <v>80</v>
      </c>
      <c r="N140" s="2" t="s">
        <v>114</v>
      </c>
      <c r="O140" s="1" t="s">
        <v>628</v>
      </c>
      <c r="P140" s="1" t="s">
        <v>24</v>
      </c>
      <c r="Q140" s="1" t="s">
        <v>772</v>
      </c>
      <c r="R140" s="1" t="s">
        <v>43</v>
      </c>
      <c r="S140" s="1" t="s">
        <v>44</v>
      </c>
      <c r="W140" s="19"/>
      <c r="X140" s="18" t="str">
        <f t="shared" si="2"/>
        <v/>
      </c>
      <c r="Y140" s="19"/>
    </row>
    <row r="141" spans="1:25" ht="13.5" customHeight="1" x14ac:dyDescent="0.2">
      <c r="A141" s="1">
        <v>87625498752</v>
      </c>
      <c r="B141" s="1" t="s">
        <v>220</v>
      </c>
      <c r="C141" s="1" t="s">
        <v>20</v>
      </c>
      <c r="D141" s="1">
        <v>1234</v>
      </c>
      <c r="E141" s="17" t="s">
        <v>221</v>
      </c>
      <c r="F141" s="1">
        <v>76211129</v>
      </c>
      <c r="G141" s="2" t="s">
        <v>77</v>
      </c>
      <c r="H141" s="1" t="s">
        <v>21</v>
      </c>
      <c r="I141" s="1" t="s">
        <v>354</v>
      </c>
      <c r="J141" s="14">
        <v>5631</v>
      </c>
      <c r="K141" s="2" t="s">
        <v>22</v>
      </c>
      <c r="L141" s="1" t="s">
        <v>23</v>
      </c>
      <c r="M141" s="2" t="s">
        <v>80</v>
      </c>
      <c r="N141" s="2" t="s">
        <v>189</v>
      </c>
      <c r="O141" s="1" t="s">
        <v>629</v>
      </c>
      <c r="P141" s="1" t="s">
        <v>24</v>
      </c>
      <c r="Q141" s="1" t="s">
        <v>772</v>
      </c>
      <c r="R141" s="1" t="s">
        <v>43</v>
      </c>
      <c r="S141" s="1" t="s">
        <v>44</v>
      </c>
      <c r="W141" s="19"/>
      <c r="X141" s="18" t="str">
        <f t="shared" si="2"/>
        <v/>
      </c>
      <c r="Y141" s="19"/>
    </row>
    <row r="142" spans="1:25" ht="13.5" customHeight="1" x14ac:dyDescent="0.2">
      <c r="A142" s="1">
        <v>87625498752</v>
      </c>
      <c r="B142" s="1" t="s">
        <v>220</v>
      </c>
      <c r="C142" s="1" t="s">
        <v>20</v>
      </c>
      <c r="D142" s="1">
        <v>1234</v>
      </c>
      <c r="E142" s="17" t="s">
        <v>221</v>
      </c>
      <c r="F142" s="1">
        <v>69125511</v>
      </c>
      <c r="G142" s="2" t="s">
        <v>77</v>
      </c>
      <c r="H142" s="1" t="s">
        <v>21</v>
      </c>
      <c r="I142" s="1" t="s">
        <v>355</v>
      </c>
      <c r="J142" s="14">
        <v>-19542</v>
      </c>
      <c r="K142" s="2" t="s">
        <v>22</v>
      </c>
      <c r="L142" s="1" t="s">
        <v>23</v>
      </c>
      <c r="M142" s="2" t="s">
        <v>80</v>
      </c>
      <c r="N142" s="2" t="s">
        <v>190</v>
      </c>
      <c r="O142" s="1" t="s">
        <v>630</v>
      </c>
      <c r="P142" s="1" t="s">
        <v>24</v>
      </c>
      <c r="Q142" s="1" t="s">
        <v>772</v>
      </c>
      <c r="R142" s="1" t="s">
        <v>43</v>
      </c>
      <c r="S142" s="1" t="s">
        <v>44</v>
      </c>
      <c r="W142" s="19"/>
      <c r="X142" s="18" t="str">
        <f t="shared" si="2"/>
        <v/>
      </c>
      <c r="Y142" s="19"/>
    </row>
    <row r="143" spans="1:25" ht="13.5" customHeight="1" x14ac:dyDescent="0.2">
      <c r="A143" s="1">
        <v>87625498752</v>
      </c>
      <c r="B143" s="1" t="s">
        <v>220</v>
      </c>
      <c r="C143" s="1" t="s">
        <v>20</v>
      </c>
      <c r="D143" s="1">
        <v>1234</v>
      </c>
      <c r="E143" s="17" t="s">
        <v>221</v>
      </c>
      <c r="F143" s="1">
        <v>35660501</v>
      </c>
      <c r="G143" s="2" t="s">
        <v>77</v>
      </c>
      <c r="H143" s="1" t="s">
        <v>21</v>
      </c>
      <c r="I143" s="1" t="s">
        <v>356</v>
      </c>
      <c r="J143" s="14">
        <v>-17900</v>
      </c>
      <c r="K143" s="2" t="s">
        <v>22</v>
      </c>
      <c r="L143" s="1" t="s">
        <v>23</v>
      </c>
      <c r="M143" s="2" t="s">
        <v>80</v>
      </c>
      <c r="N143" s="2" t="s">
        <v>190</v>
      </c>
      <c r="O143" s="1" t="s">
        <v>631</v>
      </c>
      <c r="P143" s="1" t="s">
        <v>24</v>
      </c>
      <c r="Q143" s="1" t="s">
        <v>772</v>
      </c>
      <c r="R143" s="1" t="s">
        <v>43</v>
      </c>
      <c r="S143" s="1" t="s">
        <v>44</v>
      </c>
      <c r="W143" s="19"/>
      <c r="X143" s="18" t="str">
        <f t="shared" si="2"/>
        <v/>
      </c>
      <c r="Y143" s="19"/>
    </row>
    <row r="144" spans="1:25" ht="13.5" customHeight="1" x14ac:dyDescent="0.2">
      <c r="A144" s="1">
        <v>87625498752</v>
      </c>
      <c r="B144" s="1" t="s">
        <v>220</v>
      </c>
      <c r="C144" s="1" t="s">
        <v>20</v>
      </c>
      <c r="D144" s="1">
        <v>1234</v>
      </c>
      <c r="E144" s="17" t="s">
        <v>221</v>
      </c>
      <c r="F144" s="1">
        <v>32109108</v>
      </c>
      <c r="G144" s="2" t="s">
        <v>77</v>
      </c>
      <c r="H144" s="1" t="s">
        <v>21</v>
      </c>
      <c r="I144" s="1" t="s">
        <v>357</v>
      </c>
      <c r="J144" s="14">
        <v>26061</v>
      </c>
      <c r="K144" s="2" t="s">
        <v>22</v>
      </c>
      <c r="L144" s="1" t="s">
        <v>23</v>
      </c>
      <c r="M144" s="2" t="s">
        <v>80</v>
      </c>
      <c r="N144" s="2" t="s">
        <v>191</v>
      </c>
      <c r="O144" s="1" t="s">
        <v>632</v>
      </c>
      <c r="P144" s="1" t="s">
        <v>24</v>
      </c>
      <c r="Q144" s="1" t="s">
        <v>772</v>
      </c>
      <c r="R144" s="1" t="s">
        <v>43</v>
      </c>
      <c r="S144" s="1" t="s">
        <v>44</v>
      </c>
      <c r="W144" s="19"/>
      <c r="X144" s="18" t="str">
        <f t="shared" si="2"/>
        <v/>
      </c>
      <c r="Y144" s="19"/>
    </row>
    <row r="145" spans="1:25" ht="13.5" customHeight="1" x14ac:dyDescent="0.2">
      <c r="A145" s="1">
        <v>87625498752</v>
      </c>
      <c r="B145" s="1" t="s">
        <v>220</v>
      </c>
      <c r="C145" s="1" t="s">
        <v>20</v>
      </c>
      <c r="D145" s="1">
        <v>1234</v>
      </c>
      <c r="E145" s="17" t="s">
        <v>221</v>
      </c>
      <c r="F145" s="1">
        <v>79303689</v>
      </c>
      <c r="G145" s="2" t="s">
        <v>77</v>
      </c>
      <c r="H145" s="1" t="s">
        <v>21</v>
      </c>
      <c r="I145" s="1" t="s">
        <v>358</v>
      </c>
      <c r="J145" s="14">
        <v>4391</v>
      </c>
      <c r="K145" s="2" t="s">
        <v>22</v>
      </c>
      <c r="L145" s="1" t="s">
        <v>23</v>
      </c>
      <c r="M145" s="2" t="s">
        <v>80</v>
      </c>
      <c r="N145" s="2" t="s">
        <v>191</v>
      </c>
      <c r="O145" s="1" t="s">
        <v>633</v>
      </c>
      <c r="P145" s="1" t="s">
        <v>24</v>
      </c>
      <c r="Q145" s="1" t="s">
        <v>772</v>
      </c>
      <c r="R145" s="1" t="s">
        <v>43</v>
      </c>
      <c r="S145" s="1" t="s">
        <v>44</v>
      </c>
      <c r="W145" s="19"/>
      <c r="X145" s="18" t="str">
        <f t="shared" si="2"/>
        <v/>
      </c>
      <c r="Y145" s="19"/>
    </row>
    <row r="146" spans="1:25" ht="13.5" customHeight="1" x14ac:dyDescent="0.2">
      <c r="A146" s="1">
        <v>87625498752</v>
      </c>
      <c r="B146" s="1" t="s">
        <v>220</v>
      </c>
      <c r="C146" s="1" t="s">
        <v>20</v>
      </c>
      <c r="D146" s="1">
        <v>1234</v>
      </c>
      <c r="E146" s="17" t="s">
        <v>221</v>
      </c>
      <c r="F146" s="1">
        <v>27071884</v>
      </c>
      <c r="G146" s="2" t="s">
        <v>77</v>
      </c>
      <c r="H146" s="1" t="s">
        <v>21</v>
      </c>
      <c r="I146" s="1" t="s">
        <v>359</v>
      </c>
      <c r="J146" s="14">
        <v>-5289</v>
      </c>
      <c r="K146" s="2" t="s">
        <v>22</v>
      </c>
      <c r="L146" s="1" t="s">
        <v>23</v>
      </c>
      <c r="M146" s="2" t="s">
        <v>80</v>
      </c>
      <c r="N146" s="2" t="s">
        <v>191</v>
      </c>
      <c r="O146" s="1" t="s">
        <v>634</v>
      </c>
      <c r="P146" s="1" t="s">
        <v>24</v>
      </c>
      <c r="Q146" s="1" t="s">
        <v>772</v>
      </c>
      <c r="R146" s="1" t="s">
        <v>43</v>
      </c>
      <c r="S146" s="1" t="s">
        <v>44</v>
      </c>
      <c r="W146" s="19"/>
      <c r="X146" s="18" t="str">
        <f t="shared" si="2"/>
        <v/>
      </c>
      <c r="Y146" s="19"/>
    </row>
    <row r="147" spans="1:25" ht="13.5" customHeight="1" x14ac:dyDescent="0.2">
      <c r="A147" s="1">
        <v>87625498752</v>
      </c>
      <c r="B147" s="1" t="s">
        <v>220</v>
      </c>
      <c r="C147" s="1" t="s">
        <v>20</v>
      </c>
      <c r="D147" s="1">
        <v>1234</v>
      </c>
      <c r="E147" s="17" t="s">
        <v>221</v>
      </c>
      <c r="F147" s="1">
        <v>14269609</v>
      </c>
      <c r="G147" s="2" t="s">
        <v>77</v>
      </c>
      <c r="H147" s="1" t="s">
        <v>21</v>
      </c>
      <c r="I147" s="1" t="s">
        <v>360</v>
      </c>
      <c r="J147" s="14">
        <v>-48763</v>
      </c>
      <c r="K147" s="2" t="s">
        <v>22</v>
      </c>
      <c r="L147" s="1" t="s">
        <v>23</v>
      </c>
      <c r="M147" s="2" t="s">
        <v>80</v>
      </c>
      <c r="N147" s="2" t="s">
        <v>192</v>
      </c>
      <c r="O147" s="1" t="s">
        <v>635</v>
      </c>
      <c r="P147" s="1" t="s">
        <v>24</v>
      </c>
      <c r="Q147" s="1" t="s">
        <v>772</v>
      </c>
      <c r="R147" s="1" t="s">
        <v>43</v>
      </c>
      <c r="S147" s="1" t="s">
        <v>44</v>
      </c>
      <c r="W147" s="19"/>
      <c r="X147" s="18" t="str">
        <f t="shared" si="2"/>
        <v/>
      </c>
      <c r="Y147" s="19"/>
    </row>
    <row r="148" spans="1:25" ht="13.5" customHeight="1" x14ac:dyDescent="0.2">
      <c r="A148" s="1">
        <v>87625498752</v>
      </c>
      <c r="B148" s="1" t="s">
        <v>220</v>
      </c>
      <c r="C148" s="1" t="s">
        <v>20</v>
      </c>
      <c r="D148" s="1">
        <v>1234</v>
      </c>
      <c r="E148" s="17" t="s">
        <v>221</v>
      </c>
      <c r="F148" s="1">
        <v>83328731</v>
      </c>
      <c r="G148" s="2" t="s">
        <v>77</v>
      </c>
      <c r="H148" s="1" t="s">
        <v>21</v>
      </c>
      <c r="I148" s="1" t="s">
        <v>361</v>
      </c>
      <c r="J148" s="14">
        <v>21932</v>
      </c>
      <c r="K148" s="2" t="s">
        <v>22</v>
      </c>
      <c r="L148" s="1" t="s">
        <v>23</v>
      </c>
      <c r="M148" s="2" t="s">
        <v>80</v>
      </c>
      <c r="N148" s="2" t="s">
        <v>84</v>
      </c>
      <c r="O148" s="1" t="s">
        <v>636</v>
      </c>
      <c r="P148" s="1" t="s">
        <v>24</v>
      </c>
      <c r="Q148" s="1" t="s">
        <v>772</v>
      </c>
      <c r="R148" s="1" t="s">
        <v>43</v>
      </c>
      <c r="S148" s="1" t="s">
        <v>44</v>
      </c>
      <c r="W148" s="19"/>
      <c r="X148" s="18" t="str">
        <f t="shared" si="2"/>
        <v/>
      </c>
      <c r="Y148" s="19"/>
    </row>
    <row r="149" spans="1:25" ht="13.5" customHeight="1" x14ac:dyDescent="0.2">
      <c r="A149" s="1">
        <v>87625498752</v>
      </c>
      <c r="B149" s="1" t="s">
        <v>220</v>
      </c>
      <c r="C149" s="1" t="s">
        <v>20</v>
      </c>
      <c r="D149" s="1">
        <v>1234</v>
      </c>
      <c r="E149" s="17" t="s">
        <v>221</v>
      </c>
      <c r="F149" s="1">
        <v>79687089</v>
      </c>
      <c r="G149" s="2" t="s">
        <v>77</v>
      </c>
      <c r="H149" s="1" t="s">
        <v>21</v>
      </c>
      <c r="I149" s="1" t="s">
        <v>362</v>
      </c>
      <c r="J149" s="14">
        <v>-13186</v>
      </c>
      <c r="K149" s="2" t="s">
        <v>22</v>
      </c>
      <c r="L149" s="1" t="s">
        <v>23</v>
      </c>
      <c r="M149" s="2" t="s">
        <v>80</v>
      </c>
      <c r="N149" s="2" t="s">
        <v>84</v>
      </c>
      <c r="O149" s="1" t="s">
        <v>637</v>
      </c>
      <c r="P149" s="1" t="s">
        <v>24</v>
      </c>
      <c r="Q149" s="1" t="s">
        <v>772</v>
      </c>
      <c r="R149" s="1" t="s">
        <v>43</v>
      </c>
      <c r="S149" s="1" t="s">
        <v>44</v>
      </c>
      <c r="W149" s="19"/>
      <c r="X149" s="18" t="str">
        <f t="shared" si="2"/>
        <v/>
      </c>
      <c r="Y149" s="19"/>
    </row>
    <row r="150" spans="1:25" ht="13.5" customHeight="1" x14ac:dyDescent="0.2">
      <c r="A150" s="1">
        <v>87625498752</v>
      </c>
      <c r="B150" s="1" t="s">
        <v>220</v>
      </c>
      <c r="C150" s="1" t="s">
        <v>20</v>
      </c>
      <c r="D150" s="1">
        <v>1234</v>
      </c>
      <c r="E150" s="17" t="s">
        <v>221</v>
      </c>
      <c r="F150" s="1">
        <v>68604770</v>
      </c>
      <c r="G150" s="2" t="s">
        <v>77</v>
      </c>
      <c r="H150" s="1" t="s">
        <v>21</v>
      </c>
      <c r="I150" s="1" t="s">
        <v>363</v>
      </c>
      <c r="J150" s="14">
        <v>47841</v>
      </c>
      <c r="K150" s="2" t="s">
        <v>22</v>
      </c>
      <c r="L150" s="1" t="s">
        <v>23</v>
      </c>
      <c r="M150" s="2" t="s">
        <v>80</v>
      </c>
      <c r="N150" s="2" t="s">
        <v>107</v>
      </c>
      <c r="O150" s="1" t="s">
        <v>638</v>
      </c>
      <c r="P150" s="1" t="s">
        <v>24</v>
      </c>
      <c r="Q150" s="1" t="s">
        <v>772</v>
      </c>
      <c r="R150" s="1" t="s">
        <v>43</v>
      </c>
      <c r="S150" s="1" t="s">
        <v>44</v>
      </c>
      <c r="W150" s="19"/>
      <c r="X150" s="18" t="str">
        <f t="shared" si="2"/>
        <v/>
      </c>
      <c r="Y150" s="19"/>
    </row>
    <row r="151" spans="1:25" ht="13.5" customHeight="1" x14ac:dyDescent="0.2">
      <c r="A151" s="1">
        <v>87625498752</v>
      </c>
      <c r="B151" s="1" t="s">
        <v>220</v>
      </c>
      <c r="C151" s="1" t="s">
        <v>20</v>
      </c>
      <c r="D151" s="1">
        <v>1234</v>
      </c>
      <c r="E151" s="17" t="s">
        <v>221</v>
      </c>
      <c r="F151" s="1">
        <v>79515502</v>
      </c>
      <c r="G151" s="2" t="s">
        <v>77</v>
      </c>
      <c r="H151" s="1" t="s">
        <v>21</v>
      </c>
      <c r="I151" s="1" t="s">
        <v>364</v>
      </c>
      <c r="J151" s="14">
        <v>22533</v>
      </c>
      <c r="K151" s="2" t="s">
        <v>22</v>
      </c>
      <c r="L151" s="1" t="s">
        <v>23</v>
      </c>
      <c r="M151" s="2" t="s">
        <v>80</v>
      </c>
      <c r="N151" s="2" t="s">
        <v>193</v>
      </c>
      <c r="O151" s="1" t="s">
        <v>639</v>
      </c>
      <c r="P151" s="1" t="s">
        <v>24</v>
      </c>
      <c r="Q151" s="1" t="s">
        <v>772</v>
      </c>
      <c r="R151" s="1" t="s">
        <v>43</v>
      </c>
      <c r="S151" s="1" t="s">
        <v>44</v>
      </c>
      <c r="W151" s="19"/>
      <c r="X151" s="18" t="str">
        <f t="shared" si="2"/>
        <v/>
      </c>
      <c r="Y151" s="19"/>
    </row>
    <row r="152" spans="1:25" ht="13.5" customHeight="1" x14ac:dyDescent="0.2">
      <c r="A152" s="1">
        <v>87625498752</v>
      </c>
      <c r="B152" s="1" t="s">
        <v>220</v>
      </c>
      <c r="C152" s="1" t="s">
        <v>20</v>
      </c>
      <c r="D152" s="1">
        <v>1234</v>
      </c>
      <c r="E152" s="17" t="s">
        <v>221</v>
      </c>
      <c r="F152" s="1">
        <v>60379279</v>
      </c>
      <c r="G152" s="2" t="s">
        <v>77</v>
      </c>
      <c r="H152" s="1" t="s">
        <v>21</v>
      </c>
      <c r="I152" s="1" t="s">
        <v>365</v>
      </c>
      <c r="J152" s="14">
        <v>-40093</v>
      </c>
      <c r="K152" s="2" t="s">
        <v>22</v>
      </c>
      <c r="L152" s="1" t="s">
        <v>23</v>
      </c>
      <c r="M152" s="2" t="s">
        <v>80</v>
      </c>
      <c r="N152" s="2" t="s">
        <v>154</v>
      </c>
      <c r="O152" s="1" t="s">
        <v>640</v>
      </c>
      <c r="P152" s="1" t="s">
        <v>24</v>
      </c>
      <c r="Q152" s="1" t="s">
        <v>772</v>
      </c>
      <c r="R152" s="1" t="s">
        <v>43</v>
      </c>
      <c r="S152" s="1" t="s">
        <v>44</v>
      </c>
      <c r="W152" s="19"/>
      <c r="X152" s="18" t="str">
        <f t="shared" si="2"/>
        <v/>
      </c>
      <c r="Y152" s="19"/>
    </row>
    <row r="153" spans="1:25" ht="13.5" customHeight="1" x14ac:dyDescent="0.2">
      <c r="A153" s="1">
        <v>87625498752</v>
      </c>
      <c r="B153" s="1" t="s">
        <v>220</v>
      </c>
      <c r="C153" s="1" t="s">
        <v>20</v>
      </c>
      <c r="D153" s="1">
        <v>1234</v>
      </c>
      <c r="E153" s="17" t="s">
        <v>221</v>
      </c>
      <c r="F153" s="1">
        <v>48661426</v>
      </c>
      <c r="G153" s="2" t="s">
        <v>77</v>
      </c>
      <c r="H153" s="1" t="s">
        <v>21</v>
      </c>
      <c r="I153" s="1" t="s">
        <v>366</v>
      </c>
      <c r="J153" s="14">
        <v>14736</v>
      </c>
      <c r="K153" s="2" t="s">
        <v>22</v>
      </c>
      <c r="L153" s="1" t="s">
        <v>23</v>
      </c>
      <c r="M153" s="2" t="s">
        <v>80</v>
      </c>
      <c r="N153" s="2" t="s">
        <v>118</v>
      </c>
      <c r="O153" s="1" t="s">
        <v>641</v>
      </c>
      <c r="P153" s="1" t="s">
        <v>24</v>
      </c>
      <c r="Q153" s="1" t="s">
        <v>772</v>
      </c>
      <c r="R153" s="1" t="s">
        <v>43</v>
      </c>
      <c r="S153" s="1" t="s">
        <v>44</v>
      </c>
      <c r="W153" s="19"/>
      <c r="X153" s="18" t="str">
        <f t="shared" si="2"/>
        <v/>
      </c>
      <c r="Y153" s="19"/>
    </row>
    <row r="154" spans="1:25" ht="13.5" customHeight="1" x14ac:dyDescent="0.2">
      <c r="A154" s="1">
        <v>87625498752</v>
      </c>
      <c r="B154" s="1" t="s">
        <v>220</v>
      </c>
      <c r="C154" s="1" t="s">
        <v>20</v>
      </c>
      <c r="D154" s="1">
        <v>1234</v>
      </c>
      <c r="E154" s="17" t="s">
        <v>221</v>
      </c>
      <c r="F154" s="1">
        <v>50461624</v>
      </c>
      <c r="G154" s="2" t="s">
        <v>77</v>
      </c>
      <c r="H154" s="1" t="s">
        <v>21</v>
      </c>
      <c r="I154" s="1" t="s">
        <v>367</v>
      </c>
      <c r="J154" s="14">
        <v>-7359</v>
      </c>
      <c r="K154" s="2" t="s">
        <v>22</v>
      </c>
      <c r="L154" s="1" t="s">
        <v>23</v>
      </c>
      <c r="M154" s="2" t="s">
        <v>80</v>
      </c>
      <c r="N154" s="2" t="s">
        <v>194</v>
      </c>
      <c r="O154" s="1" t="s">
        <v>642</v>
      </c>
      <c r="P154" s="1" t="s">
        <v>24</v>
      </c>
      <c r="Q154" s="1" t="s">
        <v>772</v>
      </c>
      <c r="R154" s="1" t="s">
        <v>43</v>
      </c>
      <c r="S154" s="1" t="s">
        <v>44</v>
      </c>
      <c r="W154" s="19"/>
      <c r="X154" s="18" t="str">
        <f t="shared" si="2"/>
        <v/>
      </c>
      <c r="Y154" s="19"/>
    </row>
    <row r="155" spans="1:25" ht="13.5" customHeight="1" x14ac:dyDescent="0.2">
      <c r="A155" s="1">
        <v>87625498752</v>
      </c>
      <c r="B155" s="1" t="s">
        <v>220</v>
      </c>
      <c r="C155" s="1" t="s">
        <v>20</v>
      </c>
      <c r="D155" s="1">
        <v>1234</v>
      </c>
      <c r="E155" s="17" t="s">
        <v>221</v>
      </c>
      <c r="F155" s="1">
        <v>68083351</v>
      </c>
      <c r="G155" s="2" t="s">
        <v>77</v>
      </c>
      <c r="H155" s="1" t="s">
        <v>21</v>
      </c>
      <c r="I155" s="1" t="s">
        <v>368</v>
      </c>
      <c r="J155" s="14">
        <v>-34803</v>
      </c>
      <c r="K155" s="2" t="s">
        <v>22</v>
      </c>
      <c r="L155" s="1" t="s">
        <v>23</v>
      </c>
      <c r="M155" s="2" t="s">
        <v>80</v>
      </c>
      <c r="N155" s="2" t="s">
        <v>194</v>
      </c>
      <c r="O155" s="1" t="s">
        <v>643</v>
      </c>
      <c r="P155" s="1" t="s">
        <v>24</v>
      </c>
      <c r="Q155" s="1" t="s">
        <v>772</v>
      </c>
      <c r="R155" s="1" t="s">
        <v>43</v>
      </c>
      <c r="S155" s="1" t="s">
        <v>44</v>
      </c>
      <c r="W155" s="19"/>
      <c r="X155" s="18" t="str">
        <f t="shared" si="2"/>
        <v/>
      </c>
      <c r="Y155" s="19"/>
    </row>
    <row r="156" spans="1:25" ht="13.5" customHeight="1" x14ac:dyDescent="0.2">
      <c r="A156" s="1">
        <v>87625498752</v>
      </c>
      <c r="B156" s="1" t="s">
        <v>220</v>
      </c>
      <c r="C156" s="1" t="s">
        <v>20</v>
      </c>
      <c r="D156" s="1">
        <v>1234</v>
      </c>
      <c r="E156" s="17" t="s">
        <v>221</v>
      </c>
      <c r="F156" s="1">
        <v>78963936</v>
      </c>
      <c r="G156" s="2" t="s">
        <v>77</v>
      </c>
      <c r="H156" s="1" t="s">
        <v>21</v>
      </c>
      <c r="I156" s="1" t="s">
        <v>369</v>
      </c>
      <c r="J156" s="14">
        <v>3162</v>
      </c>
      <c r="K156" s="2" t="s">
        <v>22</v>
      </c>
      <c r="L156" s="1" t="s">
        <v>23</v>
      </c>
      <c r="M156" s="2" t="s">
        <v>80</v>
      </c>
      <c r="N156" s="2" t="s">
        <v>56</v>
      </c>
      <c r="O156" s="1" t="s">
        <v>644</v>
      </c>
      <c r="P156" s="1" t="s">
        <v>24</v>
      </c>
      <c r="Q156" s="1" t="s">
        <v>772</v>
      </c>
      <c r="R156" s="1" t="s">
        <v>43</v>
      </c>
      <c r="S156" s="1" t="s">
        <v>44</v>
      </c>
      <c r="W156" s="19"/>
      <c r="X156" s="18" t="str">
        <f t="shared" si="2"/>
        <v/>
      </c>
      <c r="Y156" s="19"/>
    </row>
    <row r="157" spans="1:25" ht="13.5" customHeight="1" x14ac:dyDescent="0.2">
      <c r="A157" s="1">
        <v>87625498752</v>
      </c>
      <c r="B157" s="1" t="s">
        <v>220</v>
      </c>
      <c r="C157" s="1" t="s">
        <v>20</v>
      </c>
      <c r="D157" s="1">
        <v>1234</v>
      </c>
      <c r="E157" s="17" t="s">
        <v>221</v>
      </c>
      <c r="F157" s="1">
        <v>15193560</v>
      </c>
      <c r="G157" s="2" t="s">
        <v>77</v>
      </c>
      <c r="H157" s="1" t="s">
        <v>21</v>
      </c>
      <c r="I157" s="1" t="s">
        <v>370</v>
      </c>
      <c r="J157" s="14">
        <v>-29647</v>
      </c>
      <c r="K157" s="2" t="s">
        <v>22</v>
      </c>
      <c r="L157" s="1" t="s">
        <v>23</v>
      </c>
      <c r="M157" s="2" t="s">
        <v>80</v>
      </c>
      <c r="N157" s="2" t="s">
        <v>108</v>
      </c>
      <c r="O157" s="1" t="s">
        <v>645</v>
      </c>
      <c r="P157" s="1" t="s">
        <v>24</v>
      </c>
      <c r="Q157" s="1" t="s">
        <v>772</v>
      </c>
      <c r="R157" s="1" t="s">
        <v>43</v>
      </c>
      <c r="S157" s="1" t="s">
        <v>44</v>
      </c>
      <c r="W157" s="19"/>
      <c r="X157" s="18" t="str">
        <f t="shared" si="2"/>
        <v/>
      </c>
      <c r="Y157" s="19"/>
    </row>
    <row r="158" spans="1:25" ht="13.5" customHeight="1" x14ac:dyDescent="0.2">
      <c r="A158" s="1">
        <v>87625498752</v>
      </c>
      <c r="B158" s="1" t="s">
        <v>220</v>
      </c>
      <c r="C158" s="1" t="s">
        <v>20</v>
      </c>
      <c r="D158" s="1">
        <v>1234</v>
      </c>
      <c r="E158" s="17" t="s">
        <v>221</v>
      </c>
      <c r="F158" s="1">
        <v>72205524</v>
      </c>
      <c r="G158" s="2" t="s">
        <v>77</v>
      </c>
      <c r="H158" s="1" t="s">
        <v>21</v>
      </c>
      <c r="I158" s="1" t="s">
        <v>371</v>
      </c>
      <c r="J158" s="14">
        <v>-20545</v>
      </c>
      <c r="K158" s="2" t="s">
        <v>22</v>
      </c>
      <c r="L158" s="1" t="s">
        <v>23</v>
      </c>
      <c r="M158" s="2" t="s">
        <v>80</v>
      </c>
      <c r="N158" s="2" t="s">
        <v>108</v>
      </c>
      <c r="O158" s="1" t="s">
        <v>646</v>
      </c>
      <c r="P158" s="1" t="s">
        <v>24</v>
      </c>
      <c r="Q158" s="1" t="s">
        <v>772</v>
      </c>
      <c r="R158" s="1" t="s">
        <v>43</v>
      </c>
      <c r="S158" s="1" t="s">
        <v>44</v>
      </c>
      <c r="W158" s="19"/>
      <c r="X158" s="18" t="str">
        <f t="shared" si="2"/>
        <v/>
      </c>
      <c r="Y158" s="19"/>
    </row>
    <row r="159" spans="1:25" ht="13.5" customHeight="1" x14ac:dyDescent="0.2">
      <c r="A159" s="1">
        <v>87625498752</v>
      </c>
      <c r="B159" s="1" t="s">
        <v>220</v>
      </c>
      <c r="C159" s="1" t="s">
        <v>20</v>
      </c>
      <c r="D159" s="1">
        <v>1234</v>
      </c>
      <c r="E159" s="17" t="s">
        <v>221</v>
      </c>
      <c r="F159" s="1">
        <v>57766548</v>
      </c>
      <c r="G159" s="2" t="s">
        <v>77</v>
      </c>
      <c r="H159" s="1" t="s">
        <v>21</v>
      </c>
      <c r="I159" s="1" t="s">
        <v>372</v>
      </c>
      <c r="J159" s="14">
        <v>-25217</v>
      </c>
      <c r="K159" s="2" t="s">
        <v>22</v>
      </c>
      <c r="L159" s="1" t="s">
        <v>23</v>
      </c>
      <c r="M159" s="2" t="s">
        <v>80</v>
      </c>
      <c r="N159" s="2" t="s">
        <v>108</v>
      </c>
      <c r="O159" s="1" t="s">
        <v>647</v>
      </c>
      <c r="P159" s="1" t="s">
        <v>24</v>
      </c>
      <c r="Q159" s="1" t="s">
        <v>772</v>
      </c>
      <c r="R159" s="1" t="s">
        <v>43</v>
      </c>
      <c r="S159" s="1" t="s">
        <v>44</v>
      </c>
      <c r="W159" s="19"/>
      <c r="X159" s="18" t="str">
        <f t="shared" si="2"/>
        <v/>
      </c>
      <c r="Y159" s="19"/>
    </row>
    <row r="160" spans="1:25" ht="13.5" customHeight="1" x14ac:dyDescent="0.2">
      <c r="A160" s="1">
        <v>87625498752</v>
      </c>
      <c r="B160" s="1" t="s">
        <v>220</v>
      </c>
      <c r="C160" s="1" t="s">
        <v>20</v>
      </c>
      <c r="D160" s="1">
        <v>1234</v>
      </c>
      <c r="E160" s="17" t="s">
        <v>221</v>
      </c>
      <c r="F160" s="1">
        <v>53290747</v>
      </c>
      <c r="G160" s="2" t="s">
        <v>77</v>
      </c>
      <c r="H160" s="1" t="s">
        <v>21</v>
      </c>
      <c r="I160" s="1" t="s">
        <v>373</v>
      </c>
      <c r="J160" s="14">
        <v>-36304</v>
      </c>
      <c r="K160" s="2" t="s">
        <v>22</v>
      </c>
      <c r="L160" s="1" t="s">
        <v>23</v>
      </c>
      <c r="M160" s="2" t="s">
        <v>80</v>
      </c>
      <c r="N160" s="2" t="s">
        <v>109</v>
      </c>
      <c r="O160" s="1" t="s">
        <v>648</v>
      </c>
      <c r="P160" s="1" t="s">
        <v>24</v>
      </c>
      <c r="Q160" s="1" t="s">
        <v>772</v>
      </c>
      <c r="R160" s="1" t="s">
        <v>43</v>
      </c>
      <c r="S160" s="1" t="s">
        <v>44</v>
      </c>
      <c r="W160" s="19"/>
      <c r="X160" s="18" t="str">
        <f t="shared" si="2"/>
        <v/>
      </c>
      <c r="Y160" s="19"/>
    </row>
    <row r="161" spans="1:25" ht="13.5" customHeight="1" x14ac:dyDescent="0.2">
      <c r="A161" s="1">
        <v>87625498752</v>
      </c>
      <c r="B161" s="1" t="s">
        <v>220</v>
      </c>
      <c r="C161" s="1" t="s">
        <v>20</v>
      </c>
      <c r="D161" s="1">
        <v>1234</v>
      </c>
      <c r="E161" s="17" t="s">
        <v>221</v>
      </c>
      <c r="F161" s="1">
        <v>49777710</v>
      </c>
      <c r="G161" s="2" t="s">
        <v>77</v>
      </c>
      <c r="H161" s="1" t="s">
        <v>21</v>
      </c>
      <c r="I161" s="1" t="s">
        <v>374</v>
      </c>
      <c r="J161" s="14">
        <v>-44816</v>
      </c>
      <c r="K161" s="2" t="s">
        <v>22</v>
      </c>
      <c r="L161" s="1" t="s">
        <v>23</v>
      </c>
      <c r="M161" s="2" t="s">
        <v>80</v>
      </c>
      <c r="N161" s="2" t="s">
        <v>109</v>
      </c>
      <c r="O161" s="1" t="s">
        <v>649</v>
      </c>
      <c r="P161" s="1" t="s">
        <v>24</v>
      </c>
      <c r="Q161" s="1" t="s">
        <v>772</v>
      </c>
      <c r="R161" s="1" t="s">
        <v>43</v>
      </c>
      <c r="S161" s="1" t="s">
        <v>44</v>
      </c>
      <c r="W161" s="19"/>
      <c r="X161" s="18" t="str">
        <f t="shared" si="2"/>
        <v/>
      </c>
      <c r="Y161" s="19"/>
    </row>
    <row r="162" spans="1:25" ht="13.5" customHeight="1" x14ac:dyDescent="0.2">
      <c r="A162" s="1">
        <v>87625498752</v>
      </c>
      <c r="B162" s="1" t="s">
        <v>220</v>
      </c>
      <c r="C162" s="1" t="s">
        <v>20</v>
      </c>
      <c r="D162" s="1">
        <v>1234</v>
      </c>
      <c r="E162" s="17" t="s">
        <v>221</v>
      </c>
      <c r="F162" s="1">
        <v>81377614</v>
      </c>
      <c r="G162" s="2" t="s">
        <v>77</v>
      </c>
      <c r="H162" s="1" t="s">
        <v>21</v>
      </c>
      <c r="I162" s="1" t="s">
        <v>375</v>
      </c>
      <c r="J162" s="14">
        <v>42461</v>
      </c>
      <c r="K162" s="2" t="s">
        <v>22</v>
      </c>
      <c r="L162" s="1" t="s">
        <v>23</v>
      </c>
      <c r="M162" s="2" t="s">
        <v>80</v>
      </c>
      <c r="N162" s="2" t="s">
        <v>109</v>
      </c>
      <c r="O162" s="1" t="s">
        <v>650</v>
      </c>
      <c r="P162" s="1" t="s">
        <v>24</v>
      </c>
      <c r="Q162" s="1" t="s">
        <v>772</v>
      </c>
      <c r="R162" s="1" t="s">
        <v>43</v>
      </c>
      <c r="S162" s="1" t="s">
        <v>44</v>
      </c>
      <c r="W162" s="19"/>
      <c r="X162" s="18" t="str">
        <f t="shared" si="2"/>
        <v/>
      </c>
      <c r="Y162" s="19"/>
    </row>
    <row r="163" spans="1:25" ht="13.5" customHeight="1" x14ac:dyDescent="0.2">
      <c r="A163" s="1">
        <v>87625498752</v>
      </c>
      <c r="B163" s="1" t="s">
        <v>220</v>
      </c>
      <c r="C163" s="1" t="s">
        <v>20</v>
      </c>
      <c r="D163" s="1">
        <v>1234</v>
      </c>
      <c r="E163" s="17" t="s">
        <v>221</v>
      </c>
      <c r="F163" s="1">
        <v>23431140</v>
      </c>
      <c r="G163" s="2" t="s">
        <v>77</v>
      </c>
      <c r="H163" s="1" t="s">
        <v>26</v>
      </c>
      <c r="I163" s="1" t="s">
        <v>376</v>
      </c>
      <c r="J163" s="14">
        <v>19607</v>
      </c>
      <c r="K163" s="2" t="s">
        <v>22</v>
      </c>
      <c r="L163" s="1" t="s">
        <v>23</v>
      </c>
      <c r="M163" s="2" t="s">
        <v>80</v>
      </c>
      <c r="N163" s="2" t="s">
        <v>114</v>
      </c>
      <c r="O163" s="1" t="s">
        <v>651</v>
      </c>
      <c r="P163" s="1" t="s">
        <v>24</v>
      </c>
      <c r="Q163" s="1" t="s">
        <v>772</v>
      </c>
      <c r="R163" s="1" t="s">
        <v>43</v>
      </c>
      <c r="S163" s="1" t="s">
        <v>44</v>
      </c>
      <c r="W163" s="19"/>
      <c r="X163" s="18" t="str">
        <f t="shared" si="2"/>
        <v/>
      </c>
      <c r="Y163" s="19"/>
    </row>
    <row r="164" spans="1:25" ht="13.5" customHeight="1" x14ac:dyDescent="0.2">
      <c r="A164" s="1">
        <v>87625498752</v>
      </c>
      <c r="B164" s="1" t="s">
        <v>220</v>
      </c>
      <c r="C164" s="1" t="s">
        <v>20</v>
      </c>
      <c r="D164" s="1">
        <v>1234</v>
      </c>
      <c r="E164" s="17" t="s">
        <v>221</v>
      </c>
      <c r="F164" s="1">
        <v>57697816</v>
      </c>
      <c r="G164" s="2" t="s">
        <v>77</v>
      </c>
      <c r="H164" s="1" t="s">
        <v>26</v>
      </c>
      <c r="I164" s="1" t="s">
        <v>377</v>
      </c>
      <c r="J164" s="14">
        <v>5729</v>
      </c>
      <c r="K164" s="2" t="s">
        <v>22</v>
      </c>
      <c r="L164" s="1" t="s">
        <v>23</v>
      </c>
      <c r="M164" s="2" t="s">
        <v>80</v>
      </c>
      <c r="N164" s="2" t="s">
        <v>60</v>
      </c>
      <c r="O164" s="1" t="s">
        <v>652</v>
      </c>
      <c r="P164" s="1" t="s">
        <v>24</v>
      </c>
      <c r="Q164" s="1" t="s">
        <v>772</v>
      </c>
      <c r="R164" s="1" t="s">
        <v>43</v>
      </c>
      <c r="S164" s="1" t="s">
        <v>44</v>
      </c>
      <c r="W164" s="19"/>
      <c r="X164" s="18" t="str">
        <f t="shared" si="2"/>
        <v/>
      </c>
      <c r="Y164" s="19"/>
    </row>
    <row r="165" spans="1:25" ht="13.5" customHeight="1" x14ac:dyDescent="0.2">
      <c r="A165" s="1">
        <v>87625498752</v>
      </c>
      <c r="B165" s="1" t="s">
        <v>220</v>
      </c>
      <c r="C165" s="1" t="s">
        <v>20</v>
      </c>
      <c r="D165" s="1">
        <v>1234</v>
      </c>
      <c r="E165" s="17" t="s">
        <v>221</v>
      </c>
      <c r="F165" s="1">
        <v>98165711</v>
      </c>
      <c r="G165" s="2" t="s">
        <v>77</v>
      </c>
      <c r="H165" s="1" t="s">
        <v>26</v>
      </c>
      <c r="I165" s="1" t="s">
        <v>378</v>
      </c>
      <c r="J165" s="14">
        <v>-48658</v>
      </c>
      <c r="K165" s="2" t="s">
        <v>22</v>
      </c>
      <c r="L165" s="1" t="s">
        <v>23</v>
      </c>
      <c r="M165" s="2" t="s">
        <v>80</v>
      </c>
      <c r="N165" s="2" t="s">
        <v>195</v>
      </c>
      <c r="O165" s="1" t="s">
        <v>653</v>
      </c>
      <c r="P165" s="1" t="s">
        <v>24</v>
      </c>
      <c r="Q165" s="1" t="s">
        <v>772</v>
      </c>
      <c r="R165" s="1" t="s">
        <v>43</v>
      </c>
      <c r="S165" s="1" t="s">
        <v>44</v>
      </c>
      <c r="W165" s="19"/>
      <c r="X165" s="18" t="str">
        <f t="shared" si="2"/>
        <v/>
      </c>
      <c r="Y165" s="19"/>
    </row>
    <row r="166" spans="1:25" ht="13.5" customHeight="1" x14ac:dyDescent="0.2">
      <c r="A166" s="1">
        <v>87625498752</v>
      </c>
      <c r="B166" s="1" t="s">
        <v>220</v>
      </c>
      <c r="C166" s="1" t="s">
        <v>20</v>
      </c>
      <c r="D166" s="1">
        <v>1234</v>
      </c>
      <c r="E166" s="17" t="s">
        <v>221</v>
      </c>
      <c r="F166" s="1">
        <v>63055452</v>
      </c>
      <c r="G166" s="2" t="s">
        <v>77</v>
      </c>
      <c r="H166" s="1" t="s">
        <v>26</v>
      </c>
      <c r="I166" s="1" t="s">
        <v>379</v>
      </c>
      <c r="J166" s="14">
        <v>-34799</v>
      </c>
      <c r="K166" s="2" t="s">
        <v>22</v>
      </c>
      <c r="L166" s="1" t="s">
        <v>23</v>
      </c>
      <c r="M166" s="2" t="s">
        <v>80</v>
      </c>
      <c r="N166" s="2" t="s">
        <v>115</v>
      </c>
      <c r="O166" s="1" t="s">
        <v>654</v>
      </c>
      <c r="P166" s="1" t="s">
        <v>24</v>
      </c>
      <c r="Q166" s="1" t="s">
        <v>772</v>
      </c>
      <c r="R166" s="1" t="s">
        <v>43</v>
      </c>
      <c r="S166" s="1" t="s">
        <v>44</v>
      </c>
      <c r="W166" s="19"/>
      <c r="X166" s="18" t="str">
        <f t="shared" si="2"/>
        <v/>
      </c>
      <c r="Y166" s="19"/>
    </row>
    <row r="167" spans="1:25" ht="13.5" customHeight="1" x14ac:dyDescent="0.2">
      <c r="A167" s="1">
        <v>87625498752</v>
      </c>
      <c r="B167" s="1" t="s">
        <v>220</v>
      </c>
      <c r="C167" s="1" t="s">
        <v>20</v>
      </c>
      <c r="D167" s="1">
        <v>1234</v>
      </c>
      <c r="E167" s="17" t="s">
        <v>221</v>
      </c>
      <c r="F167" s="1">
        <v>37942853</v>
      </c>
      <c r="G167" s="2" t="s">
        <v>77</v>
      </c>
      <c r="H167" s="1" t="s">
        <v>26</v>
      </c>
      <c r="I167" s="1" t="s">
        <v>380</v>
      </c>
      <c r="J167" s="14">
        <v>20611</v>
      </c>
      <c r="K167" s="2" t="s">
        <v>22</v>
      </c>
      <c r="L167" s="1" t="s">
        <v>23</v>
      </c>
      <c r="M167" s="2" t="s">
        <v>80</v>
      </c>
      <c r="N167" s="2" t="s">
        <v>196</v>
      </c>
      <c r="O167" s="1" t="s">
        <v>655</v>
      </c>
      <c r="P167" s="1" t="s">
        <v>24</v>
      </c>
      <c r="Q167" s="1" t="s">
        <v>772</v>
      </c>
      <c r="R167" s="1" t="s">
        <v>43</v>
      </c>
      <c r="S167" s="1" t="s">
        <v>44</v>
      </c>
      <c r="W167" s="19"/>
      <c r="X167" s="18" t="str">
        <f t="shared" si="2"/>
        <v/>
      </c>
      <c r="Y167" s="19"/>
    </row>
    <row r="168" spans="1:25" ht="13.5" customHeight="1" x14ac:dyDescent="0.2">
      <c r="A168" s="1">
        <v>87625498752</v>
      </c>
      <c r="B168" s="1" t="s">
        <v>220</v>
      </c>
      <c r="C168" s="1" t="s">
        <v>20</v>
      </c>
      <c r="D168" s="1">
        <v>1234</v>
      </c>
      <c r="E168" s="17" t="s">
        <v>221</v>
      </c>
      <c r="F168" s="1">
        <v>38283638</v>
      </c>
      <c r="G168" s="2" t="s">
        <v>77</v>
      </c>
      <c r="H168" s="1" t="s">
        <v>26</v>
      </c>
      <c r="I168" s="1" t="s">
        <v>381</v>
      </c>
      <c r="J168" s="14">
        <v>31960</v>
      </c>
      <c r="K168" s="2" t="s">
        <v>22</v>
      </c>
      <c r="L168" s="1" t="s">
        <v>23</v>
      </c>
      <c r="M168" s="2" t="s">
        <v>80</v>
      </c>
      <c r="N168" s="2" t="s">
        <v>53</v>
      </c>
      <c r="O168" s="1" t="s">
        <v>656</v>
      </c>
      <c r="P168" s="1" t="s">
        <v>24</v>
      </c>
      <c r="Q168" s="1" t="s">
        <v>772</v>
      </c>
      <c r="R168" s="1" t="s">
        <v>43</v>
      </c>
      <c r="S168" s="1" t="s">
        <v>44</v>
      </c>
      <c r="W168" s="19"/>
      <c r="X168" s="18" t="str">
        <f t="shared" si="2"/>
        <v/>
      </c>
      <c r="Y168" s="19"/>
    </row>
    <row r="169" spans="1:25" ht="13.5" customHeight="1" x14ac:dyDescent="0.2">
      <c r="A169" s="1">
        <v>87625498752</v>
      </c>
      <c r="B169" s="1" t="s">
        <v>220</v>
      </c>
      <c r="C169" s="1" t="s">
        <v>20</v>
      </c>
      <c r="D169" s="1">
        <v>1234</v>
      </c>
      <c r="E169" s="17" t="s">
        <v>221</v>
      </c>
      <c r="F169" s="1">
        <v>44586407</v>
      </c>
      <c r="G169" s="2" t="s">
        <v>77</v>
      </c>
      <c r="H169" s="1" t="s">
        <v>26</v>
      </c>
      <c r="I169" s="1" t="s">
        <v>382</v>
      </c>
      <c r="J169" s="14">
        <v>-40531</v>
      </c>
      <c r="K169" s="2" t="s">
        <v>22</v>
      </c>
      <c r="L169" s="1" t="s">
        <v>23</v>
      </c>
      <c r="M169" s="2" t="s">
        <v>80</v>
      </c>
      <c r="N169" s="2" t="s">
        <v>123</v>
      </c>
      <c r="O169" s="1" t="s">
        <v>657</v>
      </c>
      <c r="P169" s="1" t="s">
        <v>24</v>
      </c>
      <c r="Q169" s="1" t="s">
        <v>772</v>
      </c>
      <c r="R169" s="1" t="s">
        <v>43</v>
      </c>
      <c r="S169" s="1" t="s">
        <v>44</v>
      </c>
      <c r="W169" s="19"/>
      <c r="X169" s="18" t="str">
        <f t="shared" si="2"/>
        <v/>
      </c>
      <c r="Y169" s="19"/>
    </row>
    <row r="170" spans="1:25" ht="13.5" customHeight="1" x14ac:dyDescent="0.2">
      <c r="A170" s="1">
        <v>87625498752</v>
      </c>
      <c r="B170" s="1" t="s">
        <v>220</v>
      </c>
      <c r="C170" s="1" t="s">
        <v>20</v>
      </c>
      <c r="D170" s="1">
        <v>1234</v>
      </c>
      <c r="E170" s="17" t="s">
        <v>221</v>
      </c>
      <c r="F170" s="1">
        <v>22577744</v>
      </c>
      <c r="G170" s="2" t="s">
        <v>77</v>
      </c>
      <c r="H170" s="1" t="s">
        <v>26</v>
      </c>
      <c r="I170" s="1" t="s">
        <v>383</v>
      </c>
      <c r="J170" s="14">
        <v>45003</v>
      </c>
      <c r="K170" s="2" t="s">
        <v>22</v>
      </c>
      <c r="L170" s="1" t="s">
        <v>23</v>
      </c>
      <c r="M170" s="2" t="s">
        <v>80</v>
      </c>
      <c r="N170" s="2" t="s">
        <v>197</v>
      </c>
      <c r="O170" s="1" t="s">
        <v>658</v>
      </c>
      <c r="P170" s="1" t="s">
        <v>24</v>
      </c>
      <c r="Q170" s="1" t="s">
        <v>772</v>
      </c>
      <c r="R170" s="1" t="s">
        <v>43</v>
      </c>
      <c r="S170" s="1" t="s">
        <v>44</v>
      </c>
      <c r="W170" s="19"/>
      <c r="X170" s="18" t="str">
        <f t="shared" si="2"/>
        <v/>
      </c>
      <c r="Y170" s="19"/>
    </row>
    <row r="171" spans="1:25" ht="13.5" customHeight="1" x14ac:dyDescent="0.2">
      <c r="A171" s="1">
        <v>87625498752</v>
      </c>
      <c r="B171" s="1" t="s">
        <v>220</v>
      </c>
      <c r="C171" s="1" t="s">
        <v>20</v>
      </c>
      <c r="D171" s="1">
        <v>1234</v>
      </c>
      <c r="E171" s="17" t="s">
        <v>221</v>
      </c>
      <c r="F171" s="1">
        <v>40281498</v>
      </c>
      <c r="G171" s="2" t="s">
        <v>77</v>
      </c>
      <c r="H171" s="1" t="s">
        <v>26</v>
      </c>
      <c r="I171" s="1" t="s">
        <v>384</v>
      </c>
      <c r="J171" s="14">
        <v>32584</v>
      </c>
      <c r="K171" s="2" t="s">
        <v>22</v>
      </c>
      <c r="L171" s="1" t="s">
        <v>23</v>
      </c>
      <c r="M171" s="2" t="s">
        <v>80</v>
      </c>
      <c r="N171" s="2" t="s">
        <v>198</v>
      </c>
      <c r="O171" s="1" t="s">
        <v>659</v>
      </c>
      <c r="P171" s="1" t="s">
        <v>24</v>
      </c>
      <c r="Q171" s="1" t="s">
        <v>772</v>
      </c>
      <c r="R171" s="1" t="s">
        <v>43</v>
      </c>
      <c r="S171" s="1" t="s">
        <v>44</v>
      </c>
      <c r="W171" s="19"/>
      <c r="X171" s="18" t="str">
        <f t="shared" si="2"/>
        <v/>
      </c>
      <c r="Y171" s="19"/>
    </row>
    <row r="172" spans="1:25" ht="13.5" customHeight="1" x14ac:dyDescent="0.2">
      <c r="A172" s="1">
        <v>87625498752</v>
      </c>
      <c r="B172" s="1" t="s">
        <v>220</v>
      </c>
      <c r="C172" s="1" t="s">
        <v>20</v>
      </c>
      <c r="D172" s="1">
        <v>1234</v>
      </c>
      <c r="E172" s="17" t="s">
        <v>221</v>
      </c>
      <c r="F172" s="1">
        <v>28898239</v>
      </c>
      <c r="G172" s="2" t="s">
        <v>77</v>
      </c>
      <c r="H172" s="1" t="s">
        <v>26</v>
      </c>
      <c r="I172" s="1" t="s">
        <v>385</v>
      </c>
      <c r="J172" s="14">
        <v>43813</v>
      </c>
      <c r="K172" s="2" t="s">
        <v>22</v>
      </c>
      <c r="L172" s="1" t="s">
        <v>23</v>
      </c>
      <c r="M172" s="2" t="s">
        <v>80</v>
      </c>
      <c r="N172" s="2" t="s">
        <v>198</v>
      </c>
      <c r="O172" s="1" t="s">
        <v>660</v>
      </c>
      <c r="P172" s="1" t="s">
        <v>24</v>
      </c>
      <c r="Q172" s="1" t="s">
        <v>772</v>
      </c>
      <c r="R172" s="1" t="s">
        <v>43</v>
      </c>
      <c r="S172" s="1" t="s">
        <v>44</v>
      </c>
      <c r="W172" s="19"/>
      <c r="X172" s="18" t="str">
        <f t="shared" si="2"/>
        <v/>
      </c>
      <c r="Y172" s="19"/>
    </row>
    <row r="173" spans="1:25" ht="13.5" customHeight="1" x14ac:dyDescent="0.2">
      <c r="A173" s="1">
        <v>87625498752</v>
      </c>
      <c r="B173" s="1" t="s">
        <v>220</v>
      </c>
      <c r="C173" s="1" t="s">
        <v>20</v>
      </c>
      <c r="D173" s="1">
        <v>1234</v>
      </c>
      <c r="E173" s="17" t="s">
        <v>221</v>
      </c>
      <c r="F173" s="1">
        <v>67117353</v>
      </c>
      <c r="G173" s="2" t="s">
        <v>77</v>
      </c>
      <c r="H173" s="1" t="s">
        <v>26</v>
      </c>
      <c r="I173" s="1" t="s">
        <v>386</v>
      </c>
      <c r="J173" s="14">
        <v>23262</v>
      </c>
      <c r="K173" s="2" t="s">
        <v>27</v>
      </c>
      <c r="L173" s="1" t="s">
        <v>28</v>
      </c>
      <c r="M173" s="2" t="s">
        <v>80</v>
      </c>
      <c r="N173" s="2" t="s">
        <v>31</v>
      </c>
      <c r="O173" s="1" t="s">
        <v>661</v>
      </c>
      <c r="P173" s="1" t="s">
        <v>24</v>
      </c>
      <c r="Q173" s="1" t="s">
        <v>772</v>
      </c>
      <c r="R173" s="1" t="s">
        <v>43</v>
      </c>
      <c r="S173" s="1" t="s">
        <v>44</v>
      </c>
      <c r="W173" s="19"/>
      <c r="X173" s="18" t="str">
        <f t="shared" si="2"/>
        <v/>
      </c>
      <c r="Y173" s="19"/>
    </row>
    <row r="174" spans="1:25" ht="13.5" customHeight="1" x14ac:dyDescent="0.2">
      <c r="A174" s="1">
        <v>87625498752</v>
      </c>
      <c r="B174" s="1" t="s">
        <v>220</v>
      </c>
      <c r="C174" s="1" t="s">
        <v>20</v>
      </c>
      <c r="D174" s="1">
        <v>1234</v>
      </c>
      <c r="E174" s="17" t="s">
        <v>221</v>
      </c>
      <c r="F174" s="1">
        <v>59588599</v>
      </c>
      <c r="G174" s="2" t="s">
        <v>77</v>
      </c>
      <c r="H174" s="1" t="s">
        <v>26</v>
      </c>
      <c r="I174" s="1" t="s">
        <v>387</v>
      </c>
      <c r="J174" s="14">
        <v>11018</v>
      </c>
      <c r="K174" s="2" t="s">
        <v>27</v>
      </c>
      <c r="L174" s="1" t="s">
        <v>28</v>
      </c>
      <c r="M174" s="2" t="s">
        <v>80</v>
      </c>
      <c r="N174" s="2" t="s">
        <v>145</v>
      </c>
      <c r="O174" s="1" t="s">
        <v>662</v>
      </c>
      <c r="P174" s="1" t="s">
        <v>24</v>
      </c>
      <c r="Q174" s="1" t="s">
        <v>772</v>
      </c>
      <c r="R174" s="1" t="s">
        <v>43</v>
      </c>
      <c r="S174" s="1" t="s">
        <v>44</v>
      </c>
      <c r="V174" s="1" t="s">
        <v>29</v>
      </c>
      <c r="W174" s="19"/>
      <c r="X174" s="18" t="str">
        <f t="shared" si="2"/>
        <v/>
      </c>
      <c r="Y174" s="19"/>
    </row>
    <row r="175" spans="1:25" ht="13.5" customHeight="1" x14ac:dyDescent="0.2">
      <c r="A175" s="1">
        <v>87625498752</v>
      </c>
      <c r="B175" s="1" t="s">
        <v>220</v>
      </c>
      <c r="C175" s="1" t="s">
        <v>20</v>
      </c>
      <c r="D175" s="1">
        <v>1234</v>
      </c>
      <c r="E175" s="17" t="s">
        <v>221</v>
      </c>
      <c r="F175" s="1">
        <v>88818558</v>
      </c>
      <c r="G175" s="2" t="s">
        <v>77</v>
      </c>
      <c r="H175" s="1" t="s">
        <v>26</v>
      </c>
      <c r="I175" s="1" t="s">
        <v>388</v>
      </c>
      <c r="J175" s="14">
        <v>32591</v>
      </c>
      <c r="K175" s="2" t="s">
        <v>27</v>
      </c>
      <c r="L175" s="1" t="s">
        <v>28</v>
      </c>
      <c r="M175" s="2" t="s">
        <v>78</v>
      </c>
      <c r="N175" s="2" t="s">
        <v>199</v>
      </c>
      <c r="O175" s="1" t="s">
        <v>663</v>
      </c>
      <c r="P175" s="1" t="s">
        <v>24</v>
      </c>
      <c r="Q175" s="1" t="s">
        <v>772</v>
      </c>
      <c r="R175" s="1" t="s">
        <v>43</v>
      </c>
      <c r="S175" s="1" t="s">
        <v>44</v>
      </c>
      <c r="W175" s="19"/>
      <c r="X175" s="18" t="str">
        <f t="shared" si="2"/>
        <v/>
      </c>
      <c r="Y175" s="19"/>
    </row>
    <row r="176" spans="1:25" ht="13.5" customHeight="1" x14ac:dyDescent="0.2">
      <c r="A176" s="1">
        <v>87625498752</v>
      </c>
      <c r="B176" s="1" t="s">
        <v>220</v>
      </c>
      <c r="C176" s="1" t="s">
        <v>20</v>
      </c>
      <c r="D176" s="1">
        <v>1234</v>
      </c>
      <c r="E176" s="17" t="s">
        <v>221</v>
      </c>
      <c r="F176" s="1">
        <v>50507076</v>
      </c>
      <c r="G176" s="2" t="s">
        <v>77</v>
      </c>
      <c r="H176" s="1" t="s">
        <v>26</v>
      </c>
      <c r="I176" s="1" t="s">
        <v>389</v>
      </c>
      <c r="J176" s="14">
        <v>-22095</v>
      </c>
      <c r="K176" s="2" t="s">
        <v>27</v>
      </c>
      <c r="L176" s="1" t="s">
        <v>28</v>
      </c>
      <c r="M176" s="2" t="s">
        <v>78</v>
      </c>
      <c r="N176" s="2" t="s">
        <v>200</v>
      </c>
      <c r="O176" s="1" t="s">
        <v>664</v>
      </c>
      <c r="P176" s="1" t="s">
        <v>24</v>
      </c>
      <c r="Q176" s="1" t="s">
        <v>772</v>
      </c>
      <c r="R176" s="1" t="s">
        <v>43</v>
      </c>
      <c r="S176" s="1" t="s">
        <v>44</v>
      </c>
      <c r="W176" s="19"/>
      <c r="X176" s="18" t="str">
        <f t="shared" si="2"/>
        <v/>
      </c>
      <c r="Y176" s="19"/>
    </row>
    <row r="177" spans="1:25" ht="13.5" customHeight="1" x14ac:dyDescent="0.2">
      <c r="A177" s="1">
        <v>87625498752</v>
      </c>
      <c r="B177" s="1" t="s">
        <v>220</v>
      </c>
      <c r="C177" s="1" t="s">
        <v>20</v>
      </c>
      <c r="D177" s="1">
        <v>1234</v>
      </c>
      <c r="E177" s="17" t="s">
        <v>221</v>
      </c>
      <c r="F177" s="1">
        <v>85948614</v>
      </c>
      <c r="G177" s="2" t="s">
        <v>77</v>
      </c>
      <c r="H177" s="1" t="s">
        <v>26</v>
      </c>
      <c r="I177" s="1" t="s">
        <v>390</v>
      </c>
      <c r="J177" s="14">
        <v>-42058</v>
      </c>
      <c r="K177" s="2" t="s">
        <v>27</v>
      </c>
      <c r="L177" s="1" t="s">
        <v>28</v>
      </c>
      <c r="M177" s="2" t="s">
        <v>80</v>
      </c>
      <c r="N177" s="2" t="s">
        <v>201</v>
      </c>
      <c r="O177" s="1" t="s">
        <v>665</v>
      </c>
      <c r="P177" s="1" t="s">
        <v>24</v>
      </c>
      <c r="Q177" s="1" t="s">
        <v>772</v>
      </c>
      <c r="R177" s="1" t="s">
        <v>43</v>
      </c>
      <c r="S177" s="1" t="s">
        <v>44</v>
      </c>
      <c r="W177" s="19"/>
      <c r="X177" s="18" t="str">
        <f t="shared" si="2"/>
        <v/>
      </c>
      <c r="Y177" s="19"/>
    </row>
    <row r="178" spans="1:25" ht="13.5" customHeight="1" x14ac:dyDescent="0.2">
      <c r="A178" s="1">
        <v>87625498752</v>
      </c>
      <c r="B178" s="1" t="s">
        <v>220</v>
      </c>
      <c r="C178" s="1" t="s">
        <v>20</v>
      </c>
      <c r="D178" s="1">
        <v>1234</v>
      </c>
      <c r="E178" s="17" t="s">
        <v>221</v>
      </c>
      <c r="F178" s="1">
        <v>87982231</v>
      </c>
      <c r="G178" s="2" t="s">
        <v>77</v>
      </c>
      <c r="H178" s="1" t="s">
        <v>26</v>
      </c>
      <c r="I178" s="1" t="s">
        <v>391</v>
      </c>
      <c r="J178" s="14">
        <v>-23874</v>
      </c>
      <c r="K178" s="2" t="s">
        <v>27</v>
      </c>
      <c r="L178" s="1" t="s">
        <v>28</v>
      </c>
      <c r="M178" s="2" t="s">
        <v>80</v>
      </c>
      <c r="N178" s="2" t="s">
        <v>112</v>
      </c>
      <c r="O178" s="1" t="s">
        <v>666</v>
      </c>
      <c r="P178" s="1" t="s">
        <v>24</v>
      </c>
      <c r="Q178" s="1" t="s">
        <v>772</v>
      </c>
      <c r="R178" s="1" t="s">
        <v>43</v>
      </c>
      <c r="S178" s="1" t="s">
        <v>44</v>
      </c>
      <c r="W178" s="19"/>
      <c r="X178" s="18" t="str">
        <f t="shared" si="2"/>
        <v/>
      </c>
      <c r="Y178" s="19"/>
    </row>
    <row r="179" spans="1:25" ht="13.5" customHeight="1" x14ac:dyDescent="0.2">
      <c r="A179" s="1">
        <v>87625498752</v>
      </c>
      <c r="B179" s="1" t="s">
        <v>220</v>
      </c>
      <c r="C179" s="1" t="s">
        <v>20</v>
      </c>
      <c r="D179" s="1">
        <v>1234</v>
      </c>
      <c r="E179" s="17" t="s">
        <v>221</v>
      </c>
      <c r="F179" s="1">
        <v>12577660</v>
      </c>
      <c r="G179" s="2" t="s">
        <v>77</v>
      </c>
      <c r="H179" s="1" t="s">
        <v>26</v>
      </c>
      <c r="I179" s="1" t="s">
        <v>392</v>
      </c>
      <c r="J179" s="14">
        <v>-44285</v>
      </c>
      <c r="K179" s="2" t="s">
        <v>27</v>
      </c>
      <c r="L179" s="1" t="s">
        <v>28</v>
      </c>
      <c r="M179" s="2" t="s">
        <v>80</v>
      </c>
      <c r="N179" s="2" t="s">
        <v>202</v>
      </c>
      <c r="O179" s="1" t="s">
        <v>667</v>
      </c>
      <c r="P179" s="1" t="s">
        <v>24</v>
      </c>
      <c r="Q179" s="1" t="s">
        <v>772</v>
      </c>
      <c r="R179" s="1" t="s">
        <v>43</v>
      </c>
      <c r="S179" s="1" t="s">
        <v>44</v>
      </c>
      <c r="W179" s="19"/>
      <c r="X179" s="18" t="str">
        <f t="shared" si="2"/>
        <v/>
      </c>
      <c r="Y179" s="19"/>
    </row>
    <row r="180" spans="1:25" ht="13.5" customHeight="1" x14ac:dyDescent="0.2">
      <c r="A180" s="1">
        <v>87625498752</v>
      </c>
      <c r="B180" s="1" t="s">
        <v>220</v>
      </c>
      <c r="C180" s="1" t="s">
        <v>20</v>
      </c>
      <c r="D180" s="1">
        <v>1234</v>
      </c>
      <c r="E180" s="17" t="s">
        <v>221</v>
      </c>
      <c r="F180" s="1">
        <v>94995041</v>
      </c>
      <c r="G180" s="2" t="s">
        <v>77</v>
      </c>
      <c r="H180" s="1" t="s">
        <v>26</v>
      </c>
      <c r="I180" s="1" t="s">
        <v>393</v>
      </c>
      <c r="J180" s="14">
        <v>-1961</v>
      </c>
      <c r="K180" s="2" t="s">
        <v>27</v>
      </c>
      <c r="L180" s="1" t="s">
        <v>28</v>
      </c>
      <c r="M180" s="2" t="s">
        <v>80</v>
      </c>
      <c r="N180" s="2" t="s">
        <v>113</v>
      </c>
      <c r="O180" s="1" t="s">
        <v>668</v>
      </c>
      <c r="P180" s="1" t="s">
        <v>24</v>
      </c>
      <c r="Q180" s="1" t="s">
        <v>772</v>
      </c>
      <c r="R180" s="1" t="s">
        <v>43</v>
      </c>
      <c r="S180" s="1" t="s">
        <v>44</v>
      </c>
      <c r="W180" s="19"/>
      <c r="X180" s="18" t="str">
        <f t="shared" si="2"/>
        <v/>
      </c>
      <c r="Y180" s="19"/>
    </row>
    <row r="181" spans="1:25" ht="13.5" customHeight="1" x14ac:dyDescent="0.2">
      <c r="A181" s="1">
        <v>87625498752</v>
      </c>
      <c r="B181" s="1" t="s">
        <v>220</v>
      </c>
      <c r="C181" s="1" t="s">
        <v>20</v>
      </c>
      <c r="D181" s="1">
        <v>1234</v>
      </c>
      <c r="E181" s="17" t="s">
        <v>221</v>
      </c>
      <c r="F181" s="1">
        <v>16363275</v>
      </c>
      <c r="G181" s="2" t="s">
        <v>77</v>
      </c>
      <c r="H181" s="1" t="s">
        <v>26</v>
      </c>
      <c r="I181" s="1" t="s">
        <v>394</v>
      </c>
      <c r="J181" s="14">
        <v>-33777</v>
      </c>
      <c r="K181" s="2" t="s">
        <v>27</v>
      </c>
      <c r="L181" s="1" t="s">
        <v>28</v>
      </c>
      <c r="M181" s="2" t="s">
        <v>80</v>
      </c>
      <c r="N181" s="2" t="s">
        <v>114</v>
      </c>
      <c r="O181" s="1" t="s">
        <v>669</v>
      </c>
      <c r="P181" s="1" t="s">
        <v>24</v>
      </c>
      <c r="Q181" s="1" t="s">
        <v>772</v>
      </c>
      <c r="R181" s="1" t="s">
        <v>43</v>
      </c>
      <c r="S181" s="1" t="s">
        <v>44</v>
      </c>
      <c r="W181" s="19"/>
      <c r="X181" s="18" t="str">
        <f t="shared" si="2"/>
        <v/>
      </c>
      <c r="Y181" s="19"/>
    </row>
    <row r="182" spans="1:25" ht="13.5" customHeight="1" x14ac:dyDescent="0.2">
      <c r="A182" s="1">
        <v>87625498752</v>
      </c>
      <c r="B182" s="1" t="s">
        <v>220</v>
      </c>
      <c r="C182" s="1" t="s">
        <v>20</v>
      </c>
      <c r="D182" s="1">
        <v>1234</v>
      </c>
      <c r="E182" s="17" t="s">
        <v>221</v>
      </c>
      <c r="F182" s="1">
        <v>91491556</v>
      </c>
      <c r="G182" s="2" t="s">
        <v>77</v>
      </c>
      <c r="H182" s="1" t="s">
        <v>26</v>
      </c>
      <c r="I182" s="1" t="s">
        <v>395</v>
      </c>
      <c r="J182" s="14">
        <v>-23535</v>
      </c>
      <c r="K182" s="2" t="s">
        <v>27</v>
      </c>
      <c r="L182" s="1" t="s">
        <v>28</v>
      </c>
      <c r="M182" s="2" t="s">
        <v>80</v>
      </c>
      <c r="N182" s="2" t="s">
        <v>126</v>
      </c>
      <c r="O182" s="1" t="s">
        <v>670</v>
      </c>
      <c r="P182" s="1" t="s">
        <v>24</v>
      </c>
      <c r="Q182" s="1" t="s">
        <v>772</v>
      </c>
      <c r="R182" s="1" t="s">
        <v>43</v>
      </c>
      <c r="S182" s="1" t="s">
        <v>44</v>
      </c>
      <c r="W182" s="19"/>
      <c r="X182" s="18" t="str">
        <f t="shared" si="2"/>
        <v/>
      </c>
      <c r="Y182" s="19"/>
    </row>
    <row r="183" spans="1:25" ht="13.5" customHeight="1" x14ac:dyDescent="0.2">
      <c r="A183" s="1">
        <v>87625498752</v>
      </c>
      <c r="B183" s="1" t="s">
        <v>220</v>
      </c>
      <c r="C183" s="1" t="s">
        <v>20</v>
      </c>
      <c r="D183" s="1">
        <v>1234</v>
      </c>
      <c r="E183" s="17" t="s">
        <v>221</v>
      </c>
      <c r="F183" s="1">
        <v>30359526</v>
      </c>
      <c r="G183" s="2" t="s">
        <v>77</v>
      </c>
      <c r="H183" s="1" t="s">
        <v>26</v>
      </c>
      <c r="I183" s="1" t="s">
        <v>396</v>
      </c>
      <c r="J183" s="14">
        <v>9775</v>
      </c>
      <c r="K183" s="2" t="s">
        <v>27</v>
      </c>
      <c r="L183" s="1" t="s">
        <v>28</v>
      </c>
      <c r="M183" s="2" t="s">
        <v>80</v>
      </c>
      <c r="N183" s="2" t="s">
        <v>203</v>
      </c>
      <c r="O183" s="1" t="s">
        <v>671</v>
      </c>
      <c r="P183" s="1" t="s">
        <v>24</v>
      </c>
      <c r="Q183" s="1" t="s">
        <v>772</v>
      </c>
      <c r="R183" s="1" t="s">
        <v>43</v>
      </c>
      <c r="S183" s="1" t="s">
        <v>44</v>
      </c>
      <c r="W183" s="19"/>
      <c r="X183" s="18" t="str">
        <f t="shared" si="2"/>
        <v/>
      </c>
      <c r="Y183" s="19"/>
    </row>
    <row r="184" spans="1:25" ht="13.5" customHeight="1" x14ac:dyDescent="0.2">
      <c r="A184" s="1">
        <v>87625498752</v>
      </c>
      <c r="B184" s="1" t="s">
        <v>220</v>
      </c>
      <c r="C184" s="1" t="s">
        <v>20</v>
      </c>
      <c r="D184" s="1">
        <v>1234</v>
      </c>
      <c r="E184" s="17" t="s">
        <v>221</v>
      </c>
      <c r="F184" s="1">
        <v>24723122</v>
      </c>
      <c r="G184" s="2" t="s">
        <v>77</v>
      </c>
      <c r="H184" s="1" t="s">
        <v>26</v>
      </c>
      <c r="I184" s="1" t="s">
        <v>397</v>
      </c>
      <c r="J184" s="14">
        <v>-12614</v>
      </c>
      <c r="K184" s="2" t="s">
        <v>27</v>
      </c>
      <c r="L184" s="1" t="s">
        <v>28</v>
      </c>
      <c r="M184" s="2" t="s">
        <v>80</v>
      </c>
      <c r="N184" s="2" t="s">
        <v>204</v>
      </c>
      <c r="O184" s="1" t="s">
        <v>672</v>
      </c>
      <c r="P184" s="1" t="s">
        <v>24</v>
      </c>
      <c r="Q184" s="1" t="s">
        <v>772</v>
      </c>
      <c r="R184" s="1" t="s">
        <v>43</v>
      </c>
      <c r="S184" s="1" t="s">
        <v>44</v>
      </c>
      <c r="W184" s="19"/>
      <c r="X184" s="18" t="str">
        <f t="shared" si="2"/>
        <v/>
      </c>
      <c r="Y184" s="19"/>
    </row>
    <row r="185" spans="1:25" ht="13.5" customHeight="1" x14ac:dyDescent="0.2">
      <c r="A185" s="1">
        <v>87625498752</v>
      </c>
      <c r="B185" s="1" t="s">
        <v>220</v>
      </c>
      <c r="C185" s="1" t="s">
        <v>20</v>
      </c>
      <c r="D185" s="1">
        <v>1234</v>
      </c>
      <c r="E185" s="17" t="s">
        <v>221</v>
      </c>
      <c r="F185" s="1">
        <v>80313899</v>
      </c>
      <c r="G185" s="2" t="s">
        <v>77</v>
      </c>
      <c r="H185" s="1" t="s">
        <v>26</v>
      </c>
      <c r="I185" s="1" t="s">
        <v>398</v>
      </c>
      <c r="J185" s="14">
        <v>-10325</v>
      </c>
      <c r="K185" s="2" t="s">
        <v>27</v>
      </c>
      <c r="L185" s="1" t="s">
        <v>28</v>
      </c>
      <c r="M185" s="2" t="s">
        <v>80</v>
      </c>
      <c r="N185" s="2" t="s">
        <v>97</v>
      </c>
      <c r="O185" s="1" t="s">
        <v>673</v>
      </c>
      <c r="P185" s="1" t="s">
        <v>24</v>
      </c>
      <c r="Q185" s="1" t="s">
        <v>772</v>
      </c>
      <c r="R185" s="1" t="s">
        <v>43</v>
      </c>
      <c r="S185" s="1" t="s">
        <v>44</v>
      </c>
      <c r="W185" s="19"/>
      <c r="X185" s="18" t="str">
        <f t="shared" si="2"/>
        <v/>
      </c>
      <c r="Y185" s="19"/>
    </row>
    <row r="186" spans="1:25" ht="13.5" customHeight="1" x14ac:dyDescent="0.2">
      <c r="A186" s="1">
        <v>87625498752</v>
      </c>
      <c r="B186" s="1" t="s">
        <v>220</v>
      </c>
      <c r="C186" s="1" t="s">
        <v>20</v>
      </c>
      <c r="D186" s="1">
        <v>1234</v>
      </c>
      <c r="E186" s="17" t="s">
        <v>221</v>
      </c>
      <c r="F186" s="1">
        <v>73435002</v>
      </c>
      <c r="G186" s="2" t="s">
        <v>77</v>
      </c>
      <c r="H186" s="1" t="s">
        <v>26</v>
      </c>
      <c r="I186" s="1" t="s">
        <v>399</v>
      </c>
      <c r="J186" s="14">
        <v>-39280</v>
      </c>
      <c r="K186" s="2" t="s">
        <v>27</v>
      </c>
      <c r="L186" s="1" t="s">
        <v>28</v>
      </c>
      <c r="M186" s="2" t="s">
        <v>80</v>
      </c>
      <c r="N186" s="2" t="s">
        <v>114</v>
      </c>
      <c r="O186" s="1" t="s">
        <v>674</v>
      </c>
      <c r="P186" s="1" t="s">
        <v>24</v>
      </c>
      <c r="Q186" s="1" t="s">
        <v>772</v>
      </c>
      <c r="R186" s="1" t="s">
        <v>43</v>
      </c>
      <c r="S186" s="1" t="s">
        <v>44</v>
      </c>
      <c r="W186" s="19"/>
      <c r="X186" s="18" t="str">
        <f t="shared" si="2"/>
        <v/>
      </c>
      <c r="Y186" s="19"/>
    </row>
    <row r="187" spans="1:25" ht="13.5" customHeight="1" x14ac:dyDescent="0.2">
      <c r="A187" s="1">
        <v>87625498752</v>
      </c>
      <c r="B187" s="1" t="s">
        <v>220</v>
      </c>
      <c r="C187" s="1" t="s">
        <v>20</v>
      </c>
      <c r="D187" s="1">
        <v>1234</v>
      </c>
      <c r="E187" s="17" t="s">
        <v>221</v>
      </c>
      <c r="F187" s="1">
        <v>45323110</v>
      </c>
      <c r="G187" s="2" t="s">
        <v>77</v>
      </c>
      <c r="H187" s="1" t="s">
        <v>26</v>
      </c>
      <c r="I187" s="1" t="s">
        <v>400</v>
      </c>
      <c r="J187" s="14">
        <v>-4103</v>
      </c>
      <c r="K187" s="2" t="s">
        <v>27</v>
      </c>
      <c r="L187" s="1" t="s">
        <v>28</v>
      </c>
      <c r="M187" s="2" t="s">
        <v>80</v>
      </c>
      <c r="N187" s="2" t="s">
        <v>55</v>
      </c>
      <c r="O187" s="1" t="s">
        <v>675</v>
      </c>
      <c r="P187" s="1" t="s">
        <v>24</v>
      </c>
      <c r="Q187" s="1" t="s">
        <v>772</v>
      </c>
      <c r="R187" s="1" t="s">
        <v>43</v>
      </c>
      <c r="S187" s="1" t="s">
        <v>44</v>
      </c>
      <c r="W187" s="19"/>
      <c r="X187" s="18" t="str">
        <f t="shared" si="2"/>
        <v/>
      </c>
      <c r="Y187" s="19"/>
    </row>
    <row r="188" spans="1:25" ht="13.5" customHeight="1" x14ac:dyDescent="0.2">
      <c r="A188" s="1">
        <v>87625498752</v>
      </c>
      <c r="B188" s="1" t="s">
        <v>220</v>
      </c>
      <c r="C188" s="1" t="s">
        <v>20</v>
      </c>
      <c r="D188" s="1">
        <v>1234</v>
      </c>
      <c r="E188" s="17" t="s">
        <v>221</v>
      </c>
      <c r="F188" s="1">
        <v>13399545</v>
      </c>
      <c r="G188" s="2" t="s">
        <v>77</v>
      </c>
      <c r="H188" s="1" t="s">
        <v>26</v>
      </c>
      <c r="I188" s="1" t="s">
        <v>401</v>
      </c>
      <c r="J188" s="14">
        <v>34773</v>
      </c>
      <c r="K188" s="2" t="s">
        <v>27</v>
      </c>
      <c r="L188" s="1" t="s">
        <v>28</v>
      </c>
      <c r="M188" s="2" t="s">
        <v>80</v>
      </c>
      <c r="N188" s="2" t="s">
        <v>60</v>
      </c>
      <c r="O188" s="1" t="s">
        <v>676</v>
      </c>
      <c r="P188" s="1" t="s">
        <v>24</v>
      </c>
      <c r="Q188" s="1" t="s">
        <v>772</v>
      </c>
      <c r="R188" s="1" t="s">
        <v>43</v>
      </c>
      <c r="S188" s="1" t="s">
        <v>44</v>
      </c>
      <c r="W188" s="19"/>
      <c r="X188" s="18" t="str">
        <f t="shared" si="2"/>
        <v/>
      </c>
      <c r="Y188" s="19"/>
    </row>
    <row r="189" spans="1:25" ht="13.5" customHeight="1" x14ac:dyDescent="0.2">
      <c r="A189" s="1">
        <v>87625498752</v>
      </c>
      <c r="B189" s="1" t="s">
        <v>220</v>
      </c>
      <c r="C189" s="1" t="s">
        <v>20</v>
      </c>
      <c r="D189" s="1">
        <v>1234</v>
      </c>
      <c r="E189" s="17" t="s">
        <v>221</v>
      </c>
      <c r="F189" s="1">
        <v>64148664</v>
      </c>
      <c r="G189" s="2" t="s">
        <v>77</v>
      </c>
      <c r="H189" s="1" t="s">
        <v>26</v>
      </c>
      <c r="I189" s="1" t="s">
        <v>402</v>
      </c>
      <c r="J189" s="14">
        <v>-43983</v>
      </c>
      <c r="K189" s="2" t="s">
        <v>27</v>
      </c>
      <c r="L189" s="1" t="s">
        <v>28</v>
      </c>
      <c r="M189" s="2" t="s">
        <v>80</v>
      </c>
      <c r="N189" s="2" t="s">
        <v>106</v>
      </c>
      <c r="O189" s="1" t="s">
        <v>677</v>
      </c>
      <c r="P189" s="1" t="s">
        <v>24</v>
      </c>
      <c r="Q189" s="1" t="s">
        <v>772</v>
      </c>
      <c r="R189" s="1" t="s">
        <v>43</v>
      </c>
      <c r="S189" s="1" t="s">
        <v>44</v>
      </c>
      <c r="W189" s="19"/>
      <c r="X189" s="18" t="str">
        <f t="shared" si="2"/>
        <v/>
      </c>
      <c r="Y189" s="19"/>
    </row>
    <row r="190" spans="1:25" ht="13.5" customHeight="1" x14ac:dyDescent="0.2">
      <c r="A190" s="1">
        <v>87625498752</v>
      </c>
      <c r="B190" s="1" t="s">
        <v>220</v>
      </c>
      <c r="C190" s="1" t="s">
        <v>20</v>
      </c>
      <c r="D190" s="1">
        <v>1234</v>
      </c>
      <c r="E190" s="17" t="s">
        <v>221</v>
      </c>
      <c r="F190" s="1">
        <v>85904758</v>
      </c>
      <c r="G190" s="2" t="s">
        <v>77</v>
      </c>
      <c r="H190" s="1" t="s">
        <v>26</v>
      </c>
      <c r="I190" s="1" t="s">
        <v>403</v>
      </c>
      <c r="J190" s="14">
        <v>-40437</v>
      </c>
      <c r="K190" s="2" t="s">
        <v>27</v>
      </c>
      <c r="L190" s="1" t="s">
        <v>28</v>
      </c>
      <c r="M190" s="2" t="s">
        <v>80</v>
      </c>
      <c r="N190" s="2" t="s">
        <v>205</v>
      </c>
      <c r="O190" s="1" t="s">
        <v>678</v>
      </c>
      <c r="P190" s="1" t="s">
        <v>24</v>
      </c>
      <c r="Q190" s="1" t="s">
        <v>772</v>
      </c>
      <c r="R190" s="1" t="s">
        <v>43</v>
      </c>
      <c r="S190" s="1" t="s">
        <v>44</v>
      </c>
      <c r="W190" s="19"/>
      <c r="X190" s="18" t="str">
        <f t="shared" si="2"/>
        <v/>
      </c>
      <c r="Y190" s="19"/>
    </row>
    <row r="191" spans="1:25" ht="13.5" customHeight="1" x14ac:dyDescent="0.2">
      <c r="A191" s="1">
        <v>87625498752</v>
      </c>
      <c r="B191" s="1" t="s">
        <v>220</v>
      </c>
      <c r="C191" s="1" t="s">
        <v>20</v>
      </c>
      <c r="D191" s="1">
        <v>1234</v>
      </c>
      <c r="E191" s="17" t="s">
        <v>221</v>
      </c>
      <c r="F191" s="1">
        <v>61247908</v>
      </c>
      <c r="G191" s="2" t="s">
        <v>77</v>
      </c>
      <c r="H191" s="1" t="s">
        <v>26</v>
      </c>
      <c r="I191" s="1" t="s">
        <v>404</v>
      </c>
      <c r="J191" s="14">
        <v>29331</v>
      </c>
      <c r="K191" s="2" t="s">
        <v>27</v>
      </c>
      <c r="L191" s="1" t="s">
        <v>28</v>
      </c>
      <c r="M191" s="2" t="s">
        <v>80</v>
      </c>
      <c r="N191" s="2" t="s">
        <v>152</v>
      </c>
      <c r="O191" s="1" t="s">
        <v>679</v>
      </c>
      <c r="P191" s="1" t="s">
        <v>24</v>
      </c>
      <c r="Q191" s="1" t="s">
        <v>772</v>
      </c>
      <c r="R191" s="1" t="s">
        <v>43</v>
      </c>
      <c r="S191" s="1" t="s">
        <v>44</v>
      </c>
      <c r="W191" s="19"/>
      <c r="X191" s="18" t="str">
        <f t="shared" si="2"/>
        <v/>
      </c>
      <c r="Y191" s="19"/>
    </row>
    <row r="192" spans="1:25" ht="13.5" customHeight="1" x14ac:dyDescent="0.2">
      <c r="A192" s="1">
        <v>87625498752</v>
      </c>
      <c r="B192" s="1" t="s">
        <v>220</v>
      </c>
      <c r="C192" s="1" t="s">
        <v>20</v>
      </c>
      <c r="D192" s="1">
        <v>1234</v>
      </c>
      <c r="E192" s="17" t="s">
        <v>221</v>
      </c>
      <c r="F192" s="1">
        <v>98646032</v>
      </c>
      <c r="G192" s="2" t="s">
        <v>77</v>
      </c>
      <c r="H192" s="1" t="s">
        <v>26</v>
      </c>
      <c r="I192" s="1" t="s">
        <v>405</v>
      </c>
      <c r="J192" s="14">
        <v>41160</v>
      </c>
      <c r="K192" s="2" t="s">
        <v>27</v>
      </c>
      <c r="L192" s="1" t="s">
        <v>28</v>
      </c>
      <c r="M192" s="2" t="s">
        <v>80</v>
      </c>
      <c r="N192" s="2" t="s">
        <v>88</v>
      </c>
      <c r="O192" s="1" t="s">
        <v>680</v>
      </c>
      <c r="P192" s="1" t="s">
        <v>24</v>
      </c>
      <c r="Q192" s="1" t="s">
        <v>772</v>
      </c>
      <c r="R192" s="1" t="s">
        <v>43</v>
      </c>
      <c r="S192" s="1" t="s">
        <v>44</v>
      </c>
      <c r="W192" s="19"/>
      <c r="X192" s="18" t="str">
        <f t="shared" si="2"/>
        <v/>
      </c>
      <c r="Y192" s="19"/>
    </row>
    <row r="193" spans="1:25" ht="13.5" customHeight="1" x14ac:dyDescent="0.2">
      <c r="A193" s="1">
        <v>87625498752</v>
      </c>
      <c r="B193" s="1" t="s">
        <v>220</v>
      </c>
      <c r="C193" s="1" t="s">
        <v>20</v>
      </c>
      <c r="D193" s="1">
        <v>1234</v>
      </c>
      <c r="E193" s="17" t="s">
        <v>221</v>
      </c>
      <c r="F193" s="1">
        <v>18230702</v>
      </c>
      <c r="G193" s="2" t="s">
        <v>77</v>
      </c>
      <c r="H193" s="1" t="s">
        <v>26</v>
      </c>
      <c r="I193" s="1" t="s">
        <v>406</v>
      </c>
      <c r="J193" s="14">
        <v>45331</v>
      </c>
      <c r="K193" s="2" t="s">
        <v>27</v>
      </c>
      <c r="L193" s="1" t="s">
        <v>28</v>
      </c>
      <c r="M193" s="2" t="s">
        <v>80</v>
      </c>
      <c r="N193" s="2" t="s">
        <v>206</v>
      </c>
      <c r="O193" s="1" t="s">
        <v>681</v>
      </c>
      <c r="P193" s="1" t="s">
        <v>24</v>
      </c>
      <c r="Q193" s="1" t="s">
        <v>772</v>
      </c>
      <c r="R193" s="1" t="s">
        <v>43</v>
      </c>
      <c r="S193" s="1" t="s">
        <v>44</v>
      </c>
      <c r="W193" s="19"/>
      <c r="X193" s="18" t="str">
        <f t="shared" si="2"/>
        <v/>
      </c>
      <c r="Y193" s="19"/>
    </row>
    <row r="194" spans="1:25" ht="13.5" customHeight="1" x14ac:dyDescent="0.2">
      <c r="A194" s="1">
        <v>87625498752</v>
      </c>
      <c r="B194" s="1" t="s">
        <v>220</v>
      </c>
      <c r="C194" s="1" t="s">
        <v>20</v>
      </c>
      <c r="D194" s="1">
        <v>1234</v>
      </c>
      <c r="E194" s="17" t="s">
        <v>221</v>
      </c>
      <c r="F194" s="1">
        <v>99603570</v>
      </c>
      <c r="G194" s="2" t="s">
        <v>77</v>
      </c>
      <c r="H194" s="1" t="s">
        <v>26</v>
      </c>
      <c r="I194" s="1" t="s">
        <v>407</v>
      </c>
      <c r="J194" s="14">
        <v>37917</v>
      </c>
      <c r="K194" s="2" t="s">
        <v>27</v>
      </c>
      <c r="L194" s="1" t="s">
        <v>28</v>
      </c>
      <c r="M194" s="2" t="s">
        <v>78</v>
      </c>
      <c r="N194" s="2" t="s">
        <v>110</v>
      </c>
      <c r="O194" s="1" t="s">
        <v>682</v>
      </c>
      <c r="P194" s="1" t="s">
        <v>24</v>
      </c>
      <c r="Q194" s="1" t="s">
        <v>772</v>
      </c>
      <c r="R194" s="1" t="s">
        <v>43</v>
      </c>
      <c r="S194" s="1" t="s">
        <v>44</v>
      </c>
      <c r="W194" s="19"/>
      <c r="X194" s="18" t="str">
        <f t="shared" si="2"/>
        <v/>
      </c>
      <c r="Y194" s="19"/>
    </row>
    <row r="195" spans="1:25" ht="13.5" customHeight="1" x14ac:dyDescent="0.2">
      <c r="A195" s="1">
        <v>87625498752</v>
      </c>
      <c r="B195" s="1" t="s">
        <v>220</v>
      </c>
      <c r="C195" s="1" t="s">
        <v>20</v>
      </c>
      <c r="D195" s="1">
        <v>1234</v>
      </c>
      <c r="E195" s="17" t="s">
        <v>221</v>
      </c>
      <c r="F195" s="1">
        <v>15858379</v>
      </c>
      <c r="G195" s="2" t="s">
        <v>77</v>
      </c>
      <c r="H195" s="1" t="s">
        <v>26</v>
      </c>
      <c r="I195" s="1" t="s">
        <v>408</v>
      </c>
      <c r="J195" s="14">
        <v>38777</v>
      </c>
      <c r="K195" s="2" t="s">
        <v>27</v>
      </c>
      <c r="L195" s="1" t="s">
        <v>28</v>
      </c>
      <c r="M195" s="2" t="s">
        <v>80</v>
      </c>
      <c r="N195" s="2" t="s">
        <v>47</v>
      </c>
      <c r="O195" s="1" t="s">
        <v>683</v>
      </c>
      <c r="P195" s="1" t="s">
        <v>24</v>
      </c>
      <c r="Q195" s="1" t="s">
        <v>772</v>
      </c>
      <c r="R195" s="1" t="s">
        <v>43</v>
      </c>
      <c r="S195" s="1" t="s">
        <v>44</v>
      </c>
      <c r="W195" s="19"/>
      <c r="X195" s="18" t="str">
        <f t="shared" si="2"/>
        <v/>
      </c>
      <c r="Y195" s="19"/>
    </row>
    <row r="196" spans="1:25" ht="13.5" customHeight="1" x14ac:dyDescent="0.2">
      <c r="A196" s="1">
        <v>87625498752</v>
      </c>
      <c r="B196" s="1" t="s">
        <v>220</v>
      </c>
      <c r="C196" s="1" t="s">
        <v>20</v>
      </c>
      <c r="D196" s="1">
        <v>1234</v>
      </c>
      <c r="E196" s="17" t="s">
        <v>221</v>
      </c>
      <c r="F196" s="1">
        <v>32606237</v>
      </c>
      <c r="G196" s="2" t="s">
        <v>77</v>
      </c>
      <c r="H196" s="1" t="s">
        <v>26</v>
      </c>
      <c r="I196" s="1" t="s">
        <v>409</v>
      </c>
      <c r="J196" s="14">
        <v>-1823</v>
      </c>
      <c r="K196" s="2" t="s">
        <v>27</v>
      </c>
      <c r="L196" s="1" t="s">
        <v>28</v>
      </c>
      <c r="M196" s="2" t="s">
        <v>80</v>
      </c>
      <c r="N196" s="2" t="s">
        <v>207</v>
      </c>
      <c r="O196" s="1" t="s">
        <v>684</v>
      </c>
      <c r="P196" s="1" t="s">
        <v>24</v>
      </c>
      <c r="Q196" s="1" t="s">
        <v>772</v>
      </c>
      <c r="R196" s="1" t="s">
        <v>43</v>
      </c>
      <c r="S196" s="1" t="s">
        <v>44</v>
      </c>
      <c r="W196" s="19"/>
      <c r="X196" s="18" t="str">
        <f t="shared" si="2"/>
        <v/>
      </c>
      <c r="Y196" s="19"/>
    </row>
    <row r="197" spans="1:25" ht="13.5" customHeight="1" x14ac:dyDescent="0.2">
      <c r="A197" s="1">
        <v>87625498752</v>
      </c>
      <c r="B197" s="1" t="s">
        <v>220</v>
      </c>
      <c r="C197" s="1" t="s">
        <v>20</v>
      </c>
      <c r="D197" s="1">
        <v>1234</v>
      </c>
      <c r="E197" s="17" t="s">
        <v>221</v>
      </c>
      <c r="F197" s="1">
        <v>91693932</v>
      </c>
      <c r="G197" s="2" t="s">
        <v>77</v>
      </c>
      <c r="H197" s="1" t="s">
        <v>26</v>
      </c>
      <c r="I197" s="1" t="s">
        <v>410</v>
      </c>
      <c r="J197" s="14">
        <v>19905</v>
      </c>
      <c r="K197" s="2" t="s">
        <v>27</v>
      </c>
      <c r="L197" s="1" t="s">
        <v>28</v>
      </c>
      <c r="M197" s="2" t="s">
        <v>80</v>
      </c>
      <c r="N197" s="2" t="s">
        <v>207</v>
      </c>
      <c r="O197" s="1" t="s">
        <v>685</v>
      </c>
      <c r="P197" s="1" t="s">
        <v>24</v>
      </c>
      <c r="Q197" s="1" t="s">
        <v>772</v>
      </c>
      <c r="R197" s="1" t="s">
        <v>43</v>
      </c>
      <c r="S197" s="1" t="s">
        <v>44</v>
      </c>
      <c r="W197" s="19"/>
      <c r="X197" s="18" t="str">
        <f t="shared" si="2"/>
        <v/>
      </c>
      <c r="Y197" s="19"/>
    </row>
    <row r="198" spans="1:25" ht="13.5" customHeight="1" x14ac:dyDescent="0.2">
      <c r="A198" s="1">
        <v>87625498752</v>
      </c>
      <c r="B198" s="1" t="s">
        <v>220</v>
      </c>
      <c r="C198" s="1" t="s">
        <v>20</v>
      </c>
      <c r="D198" s="1">
        <v>1234</v>
      </c>
      <c r="E198" s="17" t="s">
        <v>221</v>
      </c>
      <c r="F198" s="1">
        <v>63820367</v>
      </c>
      <c r="G198" s="2" t="s">
        <v>77</v>
      </c>
      <c r="H198" s="1" t="s">
        <v>26</v>
      </c>
      <c r="I198" s="1" t="s">
        <v>411</v>
      </c>
      <c r="J198" s="14">
        <v>34353</v>
      </c>
      <c r="K198" s="2" t="s">
        <v>27</v>
      </c>
      <c r="L198" s="1" t="s">
        <v>28</v>
      </c>
      <c r="M198" s="2" t="s">
        <v>80</v>
      </c>
      <c r="N198" s="2" t="s">
        <v>208</v>
      </c>
      <c r="O198" s="1" t="s">
        <v>686</v>
      </c>
      <c r="P198" s="1" t="s">
        <v>24</v>
      </c>
      <c r="Q198" s="1" t="s">
        <v>772</v>
      </c>
      <c r="R198" s="1" t="s">
        <v>43</v>
      </c>
      <c r="S198" s="1" t="s">
        <v>44</v>
      </c>
      <c r="W198" s="19"/>
      <c r="X198" s="18" t="str">
        <f t="shared" si="2"/>
        <v/>
      </c>
      <c r="Y198" s="19"/>
    </row>
    <row r="199" spans="1:25" ht="13.5" customHeight="1" x14ac:dyDescent="0.2">
      <c r="A199" s="1">
        <v>87625498752</v>
      </c>
      <c r="B199" s="1" t="s">
        <v>220</v>
      </c>
      <c r="C199" s="1" t="s">
        <v>20</v>
      </c>
      <c r="D199" s="1">
        <v>1234</v>
      </c>
      <c r="E199" s="17" t="s">
        <v>221</v>
      </c>
      <c r="F199" s="1">
        <v>25011536</v>
      </c>
      <c r="G199" s="2" t="s">
        <v>77</v>
      </c>
      <c r="H199" s="1" t="s">
        <v>26</v>
      </c>
      <c r="I199" s="1" t="s">
        <v>412</v>
      </c>
      <c r="J199" s="14">
        <v>-36193</v>
      </c>
      <c r="K199" s="2" t="s">
        <v>27</v>
      </c>
      <c r="L199" s="1" t="s">
        <v>28</v>
      </c>
      <c r="M199" s="2" t="s">
        <v>80</v>
      </c>
      <c r="N199" s="2" t="s">
        <v>209</v>
      </c>
      <c r="O199" s="1" t="s">
        <v>687</v>
      </c>
      <c r="P199" s="1" t="s">
        <v>24</v>
      </c>
      <c r="Q199" s="1" t="s">
        <v>772</v>
      </c>
      <c r="R199" s="1" t="s">
        <v>43</v>
      </c>
      <c r="S199" s="1" t="s">
        <v>44</v>
      </c>
      <c r="W199" s="19"/>
      <c r="X199" s="18" t="str">
        <f t="shared" si="2"/>
        <v/>
      </c>
      <c r="Y199" s="19"/>
    </row>
    <row r="200" spans="1:25" ht="13.5" customHeight="1" x14ac:dyDescent="0.2">
      <c r="A200" s="1">
        <v>87625498752</v>
      </c>
      <c r="B200" s="1" t="s">
        <v>220</v>
      </c>
      <c r="C200" s="1" t="s">
        <v>20</v>
      </c>
      <c r="D200" s="1">
        <v>1234</v>
      </c>
      <c r="E200" s="17" t="s">
        <v>221</v>
      </c>
      <c r="F200" s="1">
        <v>54836044</v>
      </c>
      <c r="G200" s="2" t="s">
        <v>77</v>
      </c>
      <c r="H200" s="1" t="s">
        <v>26</v>
      </c>
      <c r="I200" s="1" t="s">
        <v>413</v>
      </c>
      <c r="J200" s="14">
        <v>-3719</v>
      </c>
      <c r="K200" s="2" t="s">
        <v>27</v>
      </c>
      <c r="L200" s="1" t="s">
        <v>28</v>
      </c>
      <c r="M200" s="2" t="s">
        <v>80</v>
      </c>
      <c r="N200" s="2" t="s">
        <v>210</v>
      </c>
      <c r="O200" s="1" t="s">
        <v>688</v>
      </c>
      <c r="P200" s="1" t="s">
        <v>24</v>
      </c>
      <c r="Q200" s="1" t="s">
        <v>772</v>
      </c>
      <c r="R200" s="1" t="s">
        <v>43</v>
      </c>
      <c r="S200" s="1" t="s">
        <v>44</v>
      </c>
      <c r="W200" s="19"/>
      <c r="X200" s="18" t="str">
        <f t="shared" si="2"/>
        <v/>
      </c>
      <c r="Y200" s="19"/>
    </row>
    <row r="201" spans="1:25" ht="13.5" customHeight="1" x14ac:dyDescent="0.2">
      <c r="A201" s="1">
        <v>87625498752</v>
      </c>
      <c r="B201" s="1" t="s">
        <v>220</v>
      </c>
      <c r="C201" s="1" t="s">
        <v>20</v>
      </c>
      <c r="D201" s="1">
        <v>1234</v>
      </c>
      <c r="E201" s="17" t="s">
        <v>221</v>
      </c>
      <c r="F201" s="1">
        <v>17683862</v>
      </c>
      <c r="G201" s="2" t="s">
        <v>77</v>
      </c>
      <c r="H201" s="1" t="s">
        <v>26</v>
      </c>
      <c r="I201" s="1" t="s">
        <v>414</v>
      </c>
      <c r="J201" s="14">
        <v>5491</v>
      </c>
      <c r="K201" s="2" t="s">
        <v>27</v>
      </c>
      <c r="L201" s="1" t="s">
        <v>28</v>
      </c>
      <c r="M201" s="2" t="s">
        <v>80</v>
      </c>
      <c r="N201" s="2" t="s">
        <v>92</v>
      </c>
      <c r="O201" s="1" t="s">
        <v>689</v>
      </c>
      <c r="P201" s="1" t="s">
        <v>24</v>
      </c>
      <c r="Q201" s="1" t="s">
        <v>772</v>
      </c>
      <c r="R201" s="1" t="s">
        <v>43</v>
      </c>
      <c r="S201" s="1" t="s">
        <v>44</v>
      </c>
      <c r="W201" s="19"/>
      <c r="X201" s="18" t="str">
        <f t="shared" si="2"/>
        <v/>
      </c>
      <c r="Y201" s="19"/>
    </row>
    <row r="202" spans="1:25" ht="13.5" customHeight="1" x14ac:dyDescent="0.2">
      <c r="A202" s="1">
        <v>87625498752</v>
      </c>
      <c r="B202" s="1" t="s">
        <v>220</v>
      </c>
      <c r="C202" s="1" t="s">
        <v>20</v>
      </c>
      <c r="D202" s="1">
        <v>1234</v>
      </c>
      <c r="E202" s="17" t="s">
        <v>221</v>
      </c>
      <c r="F202" s="1">
        <v>74135412</v>
      </c>
      <c r="G202" s="2" t="s">
        <v>77</v>
      </c>
      <c r="H202" s="1" t="s">
        <v>26</v>
      </c>
      <c r="I202" s="1" t="s">
        <v>415</v>
      </c>
      <c r="J202" s="14">
        <v>-42522</v>
      </c>
      <c r="K202" s="2" t="s">
        <v>27</v>
      </c>
      <c r="L202" s="1" t="s">
        <v>28</v>
      </c>
      <c r="M202" s="2" t="s">
        <v>80</v>
      </c>
      <c r="N202" s="2" t="s">
        <v>92</v>
      </c>
      <c r="O202" s="1" t="s">
        <v>690</v>
      </c>
      <c r="P202" s="1" t="s">
        <v>24</v>
      </c>
      <c r="Q202" s="1" t="s">
        <v>772</v>
      </c>
      <c r="R202" s="1" t="s">
        <v>43</v>
      </c>
      <c r="S202" s="1" t="s">
        <v>44</v>
      </c>
      <c r="W202" s="19"/>
      <c r="X202" s="18" t="str">
        <f t="shared" ref="X202:X265" si="3">IF(D202="0001","3rd Party","")</f>
        <v/>
      </c>
      <c r="Y202" s="19"/>
    </row>
    <row r="203" spans="1:25" ht="13.5" customHeight="1" x14ac:dyDescent="0.2">
      <c r="A203" s="1">
        <v>87625498752</v>
      </c>
      <c r="B203" s="1" t="s">
        <v>220</v>
      </c>
      <c r="C203" s="1" t="s">
        <v>20</v>
      </c>
      <c r="D203" s="1">
        <v>1234</v>
      </c>
      <c r="E203" s="17" t="s">
        <v>221</v>
      </c>
      <c r="F203" s="1">
        <v>35894930</v>
      </c>
      <c r="G203" s="2" t="s">
        <v>77</v>
      </c>
      <c r="H203" s="1" t="s">
        <v>26</v>
      </c>
      <c r="I203" s="1" t="s">
        <v>416</v>
      </c>
      <c r="J203" s="14">
        <v>-40856</v>
      </c>
      <c r="K203" s="2" t="s">
        <v>27</v>
      </c>
      <c r="L203" s="1" t="s">
        <v>28</v>
      </c>
      <c r="M203" s="2" t="s">
        <v>80</v>
      </c>
      <c r="N203" s="2" t="s">
        <v>71</v>
      </c>
      <c r="O203" s="1" t="s">
        <v>691</v>
      </c>
      <c r="P203" s="1" t="s">
        <v>24</v>
      </c>
      <c r="Q203" s="1" t="s">
        <v>772</v>
      </c>
      <c r="R203" s="1" t="s">
        <v>43</v>
      </c>
      <c r="S203" s="1" t="s">
        <v>44</v>
      </c>
      <c r="W203" s="19"/>
      <c r="X203" s="18" t="str">
        <f t="shared" si="3"/>
        <v/>
      </c>
      <c r="Y203" s="19"/>
    </row>
    <row r="204" spans="1:25" ht="13.5" customHeight="1" x14ac:dyDescent="0.2">
      <c r="A204" s="1">
        <v>87625498752</v>
      </c>
      <c r="B204" s="1" t="s">
        <v>220</v>
      </c>
      <c r="C204" s="1" t="s">
        <v>20</v>
      </c>
      <c r="D204" s="1">
        <v>1234</v>
      </c>
      <c r="E204" s="17" t="s">
        <v>221</v>
      </c>
      <c r="F204" s="1">
        <v>47771896</v>
      </c>
      <c r="G204" s="2" t="s">
        <v>77</v>
      </c>
      <c r="H204" s="1" t="s">
        <v>26</v>
      </c>
      <c r="I204" s="1" t="s">
        <v>417</v>
      </c>
      <c r="J204" s="14">
        <v>-36142</v>
      </c>
      <c r="K204" s="2" t="s">
        <v>27</v>
      </c>
      <c r="L204" s="1" t="s">
        <v>28</v>
      </c>
      <c r="M204" s="2" t="s">
        <v>80</v>
      </c>
      <c r="N204" s="2" t="s">
        <v>46</v>
      </c>
      <c r="O204" s="1" t="s">
        <v>692</v>
      </c>
      <c r="P204" s="1" t="s">
        <v>24</v>
      </c>
      <c r="Q204" s="1" t="s">
        <v>772</v>
      </c>
      <c r="R204" s="1" t="s">
        <v>43</v>
      </c>
      <c r="S204" s="1" t="s">
        <v>44</v>
      </c>
      <c r="W204" s="19"/>
      <c r="X204" s="18" t="str">
        <f t="shared" si="3"/>
        <v/>
      </c>
      <c r="Y204" s="19"/>
    </row>
    <row r="205" spans="1:25" ht="13.5" customHeight="1" x14ac:dyDescent="0.2">
      <c r="A205" s="1">
        <v>87625498752</v>
      </c>
      <c r="B205" s="1" t="s">
        <v>220</v>
      </c>
      <c r="C205" s="1" t="s">
        <v>20</v>
      </c>
      <c r="D205" s="1">
        <v>1234</v>
      </c>
      <c r="E205" s="17" t="s">
        <v>221</v>
      </c>
      <c r="F205" s="1">
        <v>14947853</v>
      </c>
      <c r="G205" s="2" t="s">
        <v>77</v>
      </c>
      <c r="H205" s="1" t="s">
        <v>26</v>
      </c>
      <c r="I205" s="1" t="s">
        <v>418</v>
      </c>
      <c r="J205" s="14">
        <v>31774</v>
      </c>
      <c r="K205" s="2" t="s">
        <v>27</v>
      </c>
      <c r="L205" s="1" t="s">
        <v>28</v>
      </c>
      <c r="M205" s="2" t="s">
        <v>80</v>
      </c>
      <c r="N205" s="2" t="s">
        <v>116</v>
      </c>
      <c r="O205" s="1" t="s">
        <v>693</v>
      </c>
      <c r="P205" s="1" t="s">
        <v>24</v>
      </c>
      <c r="Q205" s="1" t="s">
        <v>772</v>
      </c>
      <c r="R205" s="1" t="s">
        <v>43</v>
      </c>
      <c r="S205" s="1" t="s">
        <v>44</v>
      </c>
      <c r="W205" s="19"/>
      <c r="X205" s="18" t="str">
        <f t="shared" si="3"/>
        <v/>
      </c>
      <c r="Y205" s="19"/>
    </row>
    <row r="206" spans="1:25" ht="13.5" customHeight="1" x14ac:dyDescent="0.2">
      <c r="A206" s="1">
        <v>87625498752</v>
      </c>
      <c r="B206" s="1" t="s">
        <v>220</v>
      </c>
      <c r="C206" s="1" t="s">
        <v>20</v>
      </c>
      <c r="D206" s="1">
        <v>1234</v>
      </c>
      <c r="E206" s="17" t="s">
        <v>221</v>
      </c>
      <c r="F206" s="1">
        <v>69914515</v>
      </c>
      <c r="G206" s="2" t="s">
        <v>77</v>
      </c>
      <c r="H206" s="1" t="s">
        <v>26</v>
      </c>
      <c r="I206" s="1" t="s">
        <v>419</v>
      </c>
      <c r="J206" s="14">
        <v>-34273</v>
      </c>
      <c r="K206" s="2" t="s">
        <v>27</v>
      </c>
      <c r="L206" s="1" t="s">
        <v>28</v>
      </c>
      <c r="M206" s="2" t="s">
        <v>80</v>
      </c>
      <c r="N206" s="2" t="s">
        <v>117</v>
      </c>
      <c r="O206" s="1" t="s">
        <v>694</v>
      </c>
      <c r="P206" s="1" t="s">
        <v>24</v>
      </c>
      <c r="Q206" s="1" t="s">
        <v>772</v>
      </c>
      <c r="R206" s="1" t="s">
        <v>43</v>
      </c>
      <c r="S206" s="1" t="s">
        <v>44</v>
      </c>
      <c r="W206" s="19"/>
      <c r="X206" s="18" t="str">
        <f t="shared" si="3"/>
        <v/>
      </c>
      <c r="Y206" s="19"/>
    </row>
    <row r="207" spans="1:25" ht="13.5" customHeight="1" x14ac:dyDescent="0.2">
      <c r="A207" s="1">
        <v>87625498752</v>
      </c>
      <c r="B207" s="1" t="s">
        <v>220</v>
      </c>
      <c r="C207" s="1" t="s">
        <v>20</v>
      </c>
      <c r="D207" s="1">
        <v>1234</v>
      </c>
      <c r="E207" s="17" t="s">
        <v>221</v>
      </c>
      <c r="F207" s="1">
        <v>44259411</v>
      </c>
      <c r="G207" s="2" t="s">
        <v>77</v>
      </c>
      <c r="H207" s="1" t="s">
        <v>26</v>
      </c>
      <c r="I207" s="1" t="s">
        <v>420</v>
      </c>
      <c r="J207" s="14">
        <v>44230</v>
      </c>
      <c r="K207" s="2" t="s">
        <v>27</v>
      </c>
      <c r="L207" s="1" t="s">
        <v>28</v>
      </c>
      <c r="M207" s="2" t="s">
        <v>80</v>
      </c>
      <c r="N207" s="2" t="s">
        <v>211</v>
      </c>
      <c r="O207" s="1" t="s">
        <v>695</v>
      </c>
      <c r="P207" s="1" t="s">
        <v>24</v>
      </c>
      <c r="Q207" s="1" t="s">
        <v>772</v>
      </c>
      <c r="R207" s="1" t="s">
        <v>43</v>
      </c>
      <c r="S207" s="1" t="s">
        <v>44</v>
      </c>
      <c r="W207" s="19"/>
      <c r="X207" s="18" t="str">
        <f t="shared" si="3"/>
        <v/>
      </c>
      <c r="Y207" s="19"/>
    </row>
    <row r="208" spans="1:25" ht="13.5" customHeight="1" x14ac:dyDescent="0.2">
      <c r="A208" s="1">
        <v>87625498752</v>
      </c>
      <c r="B208" s="1" t="s">
        <v>220</v>
      </c>
      <c r="C208" s="1" t="s">
        <v>20</v>
      </c>
      <c r="D208" s="1">
        <v>1234</v>
      </c>
      <c r="E208" s="17" t="s">
        <v>221</v>
      </c>
      <c r="F208" s="1">
        <v>32146770</v>
      </c>
      <c r="G208" s="2" t="s">
        <v>77</v>
      </c>
      <c r="H208" s="1" t="s">
        <v>26</v>
      </c>
      <c r="I208" s="1" t="s">
        <v>421</v>
      </c>
      <c r="J208" s="14">
        <v>-1977</v>
      </c>
      <c r="K208" s="2" t="s">
        <v>27</v>
      </c>
      <c r="L208" s="1" t="s">
        <v>28</v>
      </c>
      <c r="M208" s="2" t="s">
        <v>80</v>
      </c>
      <c r="N208" s="2" t="s">
        <v>119</v>
      </c>
      <c r="O208" s="1" t="s">
        <v>696</v>
      </c>
      <c r="P208" s="1" t="s">
        <v>24</v>
      </c>
      <c r="Q208" s="1" t="s">
        <v>772</v>
      </c>
      <c r="R208" s="1" t="s">
        <v>43</v>
      </c>
      <c r="S208" s="1" t="s">
        <v>44</v>
      </c>
      <c r="W208" s="19"/>
      <c r="X208" s="18" t="str">
        <f t="shared" si="3"/>
        <v/>
      </c>
      <c r="Y208" s="19"/>
    </row>
    <row r="209" spans="1:25" ht="13.5" customHeight="1" x14ac:dyDescent="0.2">
      <c r="A209" s="1">
        <v>87625498752</v>
      </c>
      <c r="B209" s="1" t="s">
        <v>220</v>
      </c>
      <c r="C209" s="1" t="s">
        <v>20</v>
      </c>
      <c r="D209" s="1">
        <v>1234</v>
      </c>
      <c r="E209" s="17" t="s">
        <v>221</v>
      </c>
      <c r="F209" s="1">
        <v>55934732</v>
      </c>
      <c r="G209" s="2" t="s">
        <v>77</v>
      </c>
      <c r="H209" s="1" t="s">
        <v>26</v>
      </c>
      <c r="I209" s="1" t="s">
        <v>422</v>
      </c>
      <c r="J209" s="14">
        <v>37989</v>
      </c>
      <c r="K209" s="2" t="s">
        <v>27</v>
      </c>
      <c r="L209" s="1" t="s">
        <v>28</v>
      </c>
      <c r="M209" s="2" t="s">
        <v>80</v>
      </c>
      <c r="N209" s="2" t="s">
        <v>120</v>
      </c>
      <c r="O209" s="1" t="s">
        <v>697</v>
      </c>
      <c r="P209" s="1" t="s">
        <v>24</v>
      </c>
      <c r="Q209" s="1" t="s">
        <v>772</v>
      </c>
      <c r="R209" s="1" t="s">
        <v>43</v>
      </c>
      <c r="S209" s="1" t="s">
        <v>44</v>
      </c>
      <c r="W209" s="19"/>
      <c r="X209" s="18" t="str">
        <f t="shared" si="3"/>
        <v/>
      </c>
      <c r="Y209" s="19"/>
    </row>
    <row r="210" spans="1:25" ht="13.5" customHeight="1" x14ac:dyDescent="0.2">
      <c r="A210" s="1">
        <v>87625498752</v>
      </c>
      <c r="B210" s="1" t="s">
        <v>220</v>
      </c>
      <c r="C210" s="1" t="s">
        <v>20</v>
      </c>
      <c r="D210" s="1">
        <v>1234</v>
      </c>
      <c r="E210" s="17" t="s">
        <v>221</v>
      </c>
      <c r="F210" s="1">
        <v>93840625</v>
      </c>
      <c r="G210" s="2" t="s">
        <v>77</v>
      </c>
      <c r="H210" s="1" t="s">
        <v>26</v>
      </c>
      <c r="I210" s="1" t="s">
        <v>423</v>
      </c>
      <c r="J210" s="14">
        <v>48557</v>
      </c>
      <c r="K210" s="2" t="s">
        <v>27</v>
      </c>
      <c r="L210" s="1" t="s">
        <v>28</v>
      </c>
      <c r="M210" s="2" t="s">
        <v>80</v>
      </c>
      <c r="N210" s="2" t="s">
        <v>98</v>
      </c>
      <c r="O210" s="1" t="s">
        <v>698</v>
      </c>
      <c r="P210" s="1" t="s">
        <v>24</v>
      </c>
      <c r="Q210" s="1" t="s">
        <v>772</v>
      </c>
      <c r="R210" s="1" t="s">
        <v>43</v>
      </c>
      <c r="S210" s="1" t="s">
        <v>44</v>
      </c>
      <c r="W210" s="19"/>
      <c r="X210" s="18" t="str">
        <f t="shared" si="3"/>
        <v/>
      </c>
      <c r="Y210" s="19"/>
    </row>
    <row r="211" spans="1:25" ht="13.5" customHeight="1" x14ac:dyDescent="0.2">
      <c r="A211" s="1">
        <v>87625498752</v>
      </c>
      <c r="B211" s="1" t="s">
        <v>220</v>
      </c>
      <c r="C211" s="1" t="s">
        <v>20</v>
      </c>
      <c r="D211" s="1">
        <v>1234</v>
      </c>
      <c r="E211" s="17" t="s">
        <v>221</v>
      </c>
      <c r="F211" s="1">
        <v>83814853</v>
      </c>
      <c r="G211" s="2" t="s">
        <v>77</v>
      </c>
      <c r="H211" s="1" t="s">
        <v>26</v>
      </c>
      <c r="I211" s="1" t="s">
        <v>424</v>
      </c>
      <c r="J211" s="14">
        <v>2400</v>
      </c>
      <c r="K211" s="2" t="s">
        <v>27</v>
      </c>
      <c r="L211" s="1" t="s">
        <v>28</v>
      </c>
      <c r="M211" s="2" t="s">
        <v>80</v>
      </c>
      <c r="N211" s="2" t="s">
        <v>121</v>
      </c>
      <c r="O211" s="1" t="s">
        <v>699</v>
      </c>
      <c r="P211" s="1" t="s">
        <v>24</v>
      </c>
      <c r="Q211" s="1" t="s">
        <v>772</v>
      </c>
      <c r="R211" s="1" t="s">
        <v>43</v>
      </c>
      <c r="S211" s="1" t="s">
        <v>44</v>
      </c>
      <c r="W211" s="19"/>
      <c r="X211" s="18" t="str">
        <f t="shared" si="3"/>
        <v/>
      </c>
      <c r="Y211" s="19"/>
    </row>
    <row r="212" spans="1:25" ht="13.5" customHeight="1" x14ac:dyDescent="0.2">
      <c r="A212" s="1">
        <v>87625498752</v>
      </c>
      <c r="B212" s="1" t="s">
        <v>220</v>
      </c>
      <c r="C212" s="1" t="s">
        <v>20</v>
      </c>
      <c r="D212" s="1">
        <v>1234</v>
      </c>
      <c r="E212" s="17" t="s">
        <v>221</v>
      </c>
      <c r="F212" s="1">
        <v>38809687</v>
      </c>
      <c r="G212" s="2" t="s">
        <v>77</v>
      </c>
      <c r="H212" s="1" t="s">
        <v>26</v>
      </c>
      <c r="I212" s="1" t="s">
        <v>425</v>
      </c>
      <c r="J212" s="14">
        <v>-44685</v>
      </c>
      <c r="K212" s="2" t="s">
        <v>27</v>
      </c>
      <c r="L212" s="1" t="s">
        <v>28</v>
      </c>
      <c r="M212" s="2" t="s">
        <v>80</v>
      </c>
      <c r="N212" s="2" t="s">
        <v>66</v>
      </c>
      <c r="O212" s="1" t="s">
        <v>700</v>
      </c>
      <c r="P212" s="1" t="s">
        <v>24</v>
      </c>
      <c r="Q212" s="1" t="s">
        <v>772</v>
      </c>
      <c r="R212" s="1" t="s">
        <v>43</v>
      </c>
      <c r="S212" s="1" t="s">
        <v>44</v>
      </c>
      <c r="W212" s="19"/>
      <c r="X212" s="18" t="str">
        <f t="shared" si="3"/>
        <v/>
      </c>
      <c r="Y212" s="19"/>
    </row>
    <row r="213" spans="1:25" ht="13.5" customHeight="1" x14ac:dyDescent="0.2">
      <c r="A213" s="1">
        <v>87625498752</v>
      </c>
      <c r="B213" s="1" t="s">
        <v>220</v>
      </c>
      <c r="C213" s="1" t="s">
        <v>20</v>
      </c>
      <c r="D213" s="1">
        <v>1234</v>
      </c>
      <c r="E213" s="17" t="s">
        <v>221</v>
      </c>
      <c r="F213" s="1">
        <v>53437738</v>
      </c>
      <c r="G213" s="2" t="s">
        <v>77</v>
      </c>
      <c r="H213" s="1" t="s">
        <v>26</v>
      </c>
      <c r="I213" s="1" t="s">
        <v>426</v>
      </c>
      <c r="J213" s="14">
        <v>-41021</v>
      </c>
      <c r="K213" s="2" t="s">
        <v>27</v>
      </c>
      <c r="L213" s="1" t="s">
        <v>28</v>
      </c>
      <c r="M213" s="2" t="s">
        <v>80</v>
      </c>
      <c r="N213" s="2" t="s">
        <v>122</v>
      </c>
      <c r="O213" s="1" t="s">
        <v>701</v>
      </c>
      <c r="P213" s="1" t="s">
        <v>24</v>
      </c>
      <c r="Q213" s="1" t="s">
        <v>772</v>
      </c>
      <c r="R213" s="1" t="s">
        <v>43</v>
      </c>
      <c r="S213" s="1" t="s">
        <v>44</v>
      </c>
      <c r="W213" s="19"/>
      <c r="X213" s="18" t="str">
        <f t="shared" si="3"/>
        <v/>
      </c>
      <c r="Y213" s="19"/>
    </row>
    <row r="214" spans="1:25" ht="13.5" customHeight="1" x14ac:dyDescent="0.2">
      <c r="A214" s="1">
        <v>87625498752</v>
      </c>
      <c r="B214" s="1" t="s">
        <v>220</v>
      </c>
      <c r="C214" s="1" t="s">
        <v>20</v>
      </c>
      <c r="D214" s="1">
        <v>1234</v>
      </c>
      <c r="E214" s="17" t="s">
        <v>221</v>
      </c>
      <c r="F214" s="1">
        <v>76960019</v>
      </c>
      <c r="G214" s="2" t="s">
        <v>77</v>
      </c>
      <c r="H214" s="1" t="s">
        <v>26</v>
      </c>
      <c r="I214" s="1" t="s">
        <v>427</v>
      </c>
      <c r="J214" s="14">
        <v>-18292</v>
      </c>
      <c r="K214" s="2" t="s">
        <v>27</v>
      </c>
      <c r="L214" s="1" t="s">
        <v>28</v>
      </c>
      <c r="M214" s="2" t="s">
        <v>80</v>
      </c>
      <c r="N214" s="2" t="s">
        <v>178</v>
      </c>
      <c r="O214" s="1" t="s">
        <v>702</v>
      </c>
      <c r="P214" s="1" t="s">
        <v>24</v>
      </c>
      <c r="Q214" s="1" t="s">
        <v>772</v>
      </c>
      <c r="R214" s="1" t="s">
        <v>43</v>
      </c>
      <c r="S214" s="1" t="s">
        <v>44</v>
      </c>
      <c r="W214" s="19"/>
      <c r="X214" s="18" t="str">
        <f t="shared" si="3"/>
        <v/>
      </c>
      <c r="Y214" s="19"/>
    </row>
    <row r="215" spans="1:25" ht="13.5" customHeight="1" x14ac:dyDescent="0.2">
      <c r="A215" s="1">
        <v>87625498752</v>
      </c>
      <c r="B215" s="1" t="s">
        <v>220</v>
      </c>
      <c r="C215" s="1" t="s">
        <v>20</v>
      </c>
      <c r="D215" s="1">
        <v>1234</v>
      </c>
      <c r="E215" s="17" t="s">
        <v>221</v>
      </c>
      <c r="F215" s="1">
        <v>28445555</v>
      </c>
      <c r="G215" s="2" t="s">
        <v>77</v>
      </c>
      <c r="H215" s="1" t="s">
        <v>26</v>
      </c>
      <c r="I215" s="1" t="s">
        <v>428</v>
      </c>
      <c r="J215" s="14">
        <v>-17464</v>
      </c>
      <c r="K215" s="2" t="s">
        <v>27</v>
      </c>
      <c r="L215" s="1" t="s">
        <v>28</v>
      </c>
      <c r="M215" s="2" t="s">
        <v>80</v>
      </c>
      <c r="N215" s="2" t="s">
        <v>124</v>
      </c>
      <c r="O215" s="1" t="s">
        <v>703</v>
      </c>
      <c r="P215" s="1" t="s">
        <v>24</v>
      </c>
      <c r="Q215" s="1" t="s">
        <v>772</v>
      </c>
      <c r="R215" s="1" t="s">
        <v>43</v>
      </c>
      <c r="S215" s="1" t="s">
        <v>44</v>
      </c>
      <c r="W215" s="19"/>
      <c r="X215" s="18" t="str">
        <f t="shared" si="3"/>
        <v/>
      </c>
      <c r="Y215" s="19"/>
    </row>
    <row r="216" spans="1:25" ht="13.5" customHeight="1" x14ac:dyDescent="0.2">
      <c r="A216" s="1">
        <v>87625498752</v>
      </c>
      <c r="B216" s="1" t="s">
        <v>220</v>
      </c>
      <c r="C216" s="1" t="s">
        <v>20</v>
      </c>
      <c r="D216" s="1">
        <v>1234</v>
      </c>
      <c r="E216" s="17" t="s">
        <v>221</v>
      </c>
      <c r="F216" s="1">
        <v>37424364</v>
      </c>
      <c r="G216" s="2" t="s">
        <v>77</v>
      </c>
      <c r="H216" s="1" t="s">
        <v>26</v>
      </c>
      <c r="I216" s="1" t="s">
        <v>429</v>
      </c>
      <c r="J216" s="14">
        <v>-31894</v>
      </c>
      <c r="K216" s="2" t="s">
        <v>27</v>
      </c>
      <c r="L216" s="1" t="s">
        <v>28</v>
      </c>
      <c r="M216" s="2" t="s">
        <v>80</v>
      </c>
      <c r="N216" s="2" t="s">
        <v>124</v>
      </c>
      <c r="O216" s="1" t="s">
        <v>704</v>
      </c>
      <c r="P216" s="1" t="s">
        <v>24</v>
      </c>
      <c r="Q216" s="1" t="s">
        <v>772</v>
      </c>
      <c r="R216" s="1" t="s">
        <v>43</v>
      </c>
      <c r="S216" s="1" t="s">
        <v>44</v>
      </c>
      <c r="W216" s="19"/>
      <c r="X216" s="18" t="str">
        <f t="shared" si="3"/>
        <v/>
      </c>
      <c r="Y216" s="19"/>
    </row>
    <row r="217" spans="1:25" ht="13.5" customHeight="1" x14ac:dyDescent="0.2">
      <c r="A217" s="1">
        <v>87625498752</v>
      </c>
      <c r="B217" s="1" t="s">
        <v>220</v>
      </c>
      <c r="C217" s="1" t="s">
        <v>20</v>
      </c>
      <c r="D217" s="1">
        <v>1234</v>
      </c>
      <c r="E217" s="17" t="s">
        <v>221</v>
      </c>
      <c r="F217" s="1">
        <v>93579346</v>
      </c>
      <c r="G217" s="2" t="s">
        <v>77</v>
      </c>
      <c r="H217" s="1" t="s">
        <v>26</v>
      </c>
      <c r="I217" s="1" t="s">
        <v>430</v>
      </c>
      <c r="J217" s="14">
        <v>20632</v>
      </c>
      <c r="K217" s="2" t="s">
        <v>27</v>
      </c>
      <c r="L217" s="1" t="s">
        <v>28</v>
      </c>
      <c r="M217" s="2" t="s">
        <v>80</v>
      </c>
      <c r="N217" s="2" t="s">
        <v>197</v>
      </c>
      <c r="O217" s="1" t="s">
        <v>705</v>
      </c>
      <c r="P217" s="1" t="s">
        <v>24</v>
      </c>
      <c r="Q217" s="1" t="s">
        <v>772</v>
      </c>
      <c r="R217" s="1" t="s">
        <v>43</v>
      </c>
      <c r="S217" s="1" t="s">
        <v>44</v>
      </c>
      <c r="V217" s="1" t="s">
        <v>29</v>
      </c>
      <c r="W217" s="19"/>
      <c r="X217" s="18" t="str">
        <f t="shared" si="3"/>
        <v/>
      </c>
      <c r="Y217" s="19"/>
    </row>
    <row r="218" spans="1:25" ht="13.5" customHeight="1" x14ac:dyDescent="0.2">
      <c r="A218" s="1">
        <v>87625498752</v>
      </c>
      <c r="B218" s="1" t="s">
        <v>220</v>
      </c>
      <c r="C218" s="1" t="s">
        <v>20</v>
      </c>
      <c r="D218" s="1">
        <v>1234</v>
      </c>
      <c r="E218" s="17" t="s">
        <v>221</v>
      </c>
      <c r="F218" s="1">
        <v>50481549</v>
      </c>
      <c r="G218" s="2" t="s">
        <v>77</v>
      </c>
      <c r="H218" s="1" t="s">
        <v>26</v>
      </c>
      <c r="I218" s="1" t="s">
        <v>431</v>
      </c>
      <c r="J218" s="14">
        <v>37490</v>
      </c>
      <c r="K218" s="2" t="s">
        <v>27</v>
      </c>
      <c r="L218" s="1" t="s">
        <v>28</v>
      </c>
      <c r="M218" s="2" t="s">
        <v>80</v>
      </c>
      <c r="N218" s="2" t="s">
        <v>197</v>
      </c>
      <c r="O218" s="1" t="s">
        <v>706</v>
      </c>
      <c r="P218" s="1" t="s">
        <v>24</v>
      </c>
      <c r="Q218" s="1" t="s">
        <v>772</v>
      </c>
      <c r="R218" s="1" t="s">
        <v>43</v>
      </c>
      <c r="S218" s="1" t="s">
        <v>44</v>
      </c>
      <c r="W218" s="19"/>
      <c r="X218" s="18" t="str">
        <f t="shared" si="3"/>
        <v/>
      </c>
      <c r="Y218" s="19"/>
    </row>
    <row r="219" spans="1:25" ht="13.5" customHeight="1" x14ac:dyDescent="0.2">
      <c r="A219" s="1">
        <v>87625498752</v>
      </c>
      <c r="B219" s="1" t="s">
        <v>220</v>
      </c>
      <c r="C219" s="1" t="s">
        <v>20</v>
      </c>
      <c r="D219" s="1">
        <v>1234</v>
      </c>
      <c r="E219" s="17" t="s">
        <v>221</v>
      </c>
      <c r="F219" s="1">
        <v>66184821</v>
      </c>
      <c r="G219" s="2" t="s">
        <v>77</v>
      </c>
      <c r="H219" s="1" t="s">
        <v>26</v>
      </c>
      <c r="I219" s="1" t="s">
        <v>432</v>
      </c>
      <c r="J219" s="14">
        <v>-44700</v>
      </c>
      <c r="K219" s="2" t="s">
        <v>27</v>
      </c>
      <c r="L219" s="1" t="s">
        <v>28</v>
      </c>
      <c r="M219" s="2" t="s">
        <v>80</v>
      </c>
      <c r="N219" s="2" t="s">
        <v>212</v>
      </c>
      <c r="O219" s="1" t="s">
        <v>707</v>
      </c>
      <c r="P219" s="1" t="s">
        <v>24</v>
      </c>
      <c r="Q219" s="1" t="s">
        <v>772</v>
      </c>
      <c r="R219" s="1" t="s">
        <v>43</v>
      </c>
      <c r="S219" s="1" t="s">
        <v>44</v>
      </c>
      <c r="V219" s="1" t="s">
        <v>29</v>
      </c>
      <c r="W219" s="19"/>
      <c r="X219" s="18" t="str">
        <f t="shared" si="3"/>
        <v/>
      </c>
      <c r="Y219" s="19"/>
    </row>
    <row r="220" spans="1:25" ht="13.5" customHeight="1" x14ac:dyDescent="0.2">
      <c r="A220" s="1">
        <v>87625498752</v>
      </c>
      <c r="B220" s="1" t="s">
        <v>220</v>
      </c>
      <c r="C220" s="1" t="s">
        <v>20</v>
      </c>
      <c r="D220" s="1">
        <v>1234</v>
      </c>
      <c r="E220" s="17" t="s">
        <v>221</v>
      </c>
      <c r="F220" s="1">
        <v>12495740</v>
      </c>
      <c r="G220" s="2" t="s">
        <v>77</v>
      </c>
      <c r="H220" s="1" t="s">
        <v>26</v>
      </c>
      <c r="I220" s="1" t="s">
        <v>433</v>
      </c>
      <c r="J220" s="14">
        <v>41026</v>
      </c>
      <c r="K220" s="2" t="s">
        <v>27</v>
      </c>
      <c r="L220" s="1" t="s">
        <v>28</v>
      </c>
      <c r="M220" s="2" t="s">
        <v>80</v>
      </c>
      <c r="N220" s="2" t="s">
        <v>125</v>
      </c>
      <c r="O220" s="1" t="s">
        <v>708</v>
      </c>
      <c r="P220" s="1" t="s">
        <v>24</v>
      </c>
      <c r="Q220" s="1" t="s">
        <v>772</v>
      </c>
      <c r="R220" s="1" t="s">
        <v>43</v>
      </c>
      <c r="S220" s="1" t="s">
        <v>44</v>
      </c>
      <c r="W220" s="19"/>
      <c r="X220" s="18" t="str">
        <f t="shared" si="3"/>
        <v/>
      </c>
      <c r="Y220" s="19"/>
    </row>
    <row r="221" spans="1:25" ht="13.5" customHeight="1" x14ac:dyDescent="0.2">
      <c r="A221" s="1">
        <v>87625498752</v>
      </c>
      <c r="B221" s="1" t="s">
        <v>220</v>
      </c>
      <c r="C221" s="1" t="s">
        <v>20</v>
      </c>
      <c r="D221" s="1">
        <v>1234</v>
      </c>
      <c r="E221" s="17" t="s">
        <v>221</v>
      </c>
      <c r="F221" s="1">
        <v>19434052</v>
      </c>
      <c r="G221" s="2" t="s">
        <v>77</v>
      </c>
      <c r="H221" s="1" t="s">
        <v>26</v>
      </c>
      <c r="I221" s="1" t="s">
        <v>434</v>
      </c>
      <c r="J221" s="14">
        <v>-21994</v>
      </c>
      <c r="K221" s="2" t="s">
        <v>27</v>
      </c>
      <c r="L221" s="1" t="s">
        <v>28</v>
      </c>
      <c r="M221" s="2" t="s">
        <v>78</v>
      </c>
      <c r="N221" s="2" t="s">
        <v>67</v>
      </c>
      <c r="O221" s="1" t="s">
        <v>709</v>
      </c>
      <c r="P221" s="1" t="s">
        <v>24</v>
      </c>
      <c r="Q221" s="1" t="s">
        <v>772</v>
      </c>
      <c r="R221" s="1" t="s">
        <v>43</v>
      </c>
      <c r="S221" s="1" t="s">
        <v>44</v>
      </c>
      <c r="W221" s="19"/>
      <c r="X221" s="18" t="str">
        <f t="shared" si="3"/>
        <v/>
      </c>
      <c r="Y221" s="19"/>
    </row>
    <row r="222" spans="1:25" ht="13.5" customHeight="1" x14ac:dyDescent="0.2">
      <c r="A222" s="1">
        <v>87625498752</v>
      </c>
      <c r="B222" s="1" t="s">
        <v>220</v>
      </c>
      <c r="C222" s="1" t="s">
        <v>20</v>
      </c>
      <c r="D222" s="1">
        <v>1234</v>
      </c>
      <c r="E222" s="17" t="s">
        <v>221</v>
      </c>
      <c r="F222" s="1">
        <v>93844030</v>
      </c>
      <c r="G222" s="2" t="s">
        <v>77</v>
      </c>
      <c r="H222" s="1" t="s">
        <v>26</v>
      </c>
      <c r="I222" s="1" t="s">
        <v>435</v>
      </c>
      <c r="J222" s="14">
        <v>48716</v>
      </c>
      <c r="K222" s="2" t="s">
        <v>27</v>
      </c>
      <c r="L222" s="1" t="s">
        <v>28</v>
      </c>
      <c r="M222" s="2" t="s">
        <v>80</v>
      </c>
      <c r="N222" s="2" t="s">
        <v>91</v>
      </c>
      <c r="O222" s="1" t="s">
        <v>710</v>
      </c>
      <c r="P222" s="1" t="s">
        <v>24</v>
      </c>
      <c r="Q222" s="1" t="s">
        <v>772</v>
      </c>
      <c r="R222" s="1" t="s">
        <v>43</v>
      </c>
      <c r="S222" s="1" t="s">
        <v>44</v>
      </c>
      <c r="W222" s="19"/>
      <c r="X222" s="18" t="str">
        <f t="shared" si="3"/>
        <v/>
      </c>
      <c r="Y222" s="19"/>
    </row>
    <row r="223" spans="1:25" ht="13.5" customHeight="1" x14ac:dyDescent="0.2">
      <c r="A223" s="1">
        <v>87625498752</v>
      </c>
      <c r="B223" s="1" t="s">
        <v>220</v>
      </c>
      <c r="C223" s="1" t="s">
        <v>20</v>
      </c>
      <c r="D223" s="1">
        <v>1234</v>
      </c>
      <c r="E223" s="17" t="s">
        <v>221</v>
      </c>
      <c r="F223" s="1">
        <v>82655547</v>
      </c>
      <c r="G223" s="2" t="s">
        <v>77</v>
      </c>
      <c r="H223" s="1" t="s">
        <v>26</v>
      </c>
      <c r="I223" s="1" t="s">
        <v>436</v>
      </c>
      <c r="J223" s="14">
        <v>42603</v>
      </c>
      <c r="K223" s="2" t="s">
        <v>27</v>
      </c>
      <c r="L223" s="1" t="s">
        <v>28</v>
      </c>
      <c r="M223" s="2" t="s">
        <v>80</v>
      </c>
      <c r="N223" s="2" t="s">
        <v>91</v>
      </c>
      <c r="O223" s="1" t="s">
        <v>711</v>
      </c>
      <c r="P223" s="1" t="s">
        <v>24</v>
      </c>
      <c r="Q223" s="1" t="s">
        <v>772</v>
      </c>
      <c r="R223" s="1" t="s">
        <v>43</v>
      </c>
      <c r="S223" s="1" t="s">
        <v>44</v>
      </c>
      <c r="W223" s="19"/>
      <c r="X223" s="18" t="str">
        <f t="shared" si="3"/>
        <v/>
      </c>
      <c r="Y223" s="19"/>
    </row>
    <row r="224" spans="1:25" ht="13.5" customHeight="1" x14ac:dyDescent="0.2">
      <c r="A224" s="1">
        <v>87625498752</v>
      </c>
      <c r="B224" s="1" t="s">
        <v>220</v>
      </c>
      <c r="C224" s="1" t="s">
        <v>20</v>
      </c>
      <c r="D224" s="1">
        <v>1234</v>
      </c>
      <c r="E224" s="17" t="s">
        <v>221</v>
      </c>
      <c r="F224" s="1">
        <v>41217751</v>
      </c>
      <c r="G224" s="2" t="s">
        <v>77</v>
      </c>
      <c r="H224" s="1" t="s">
        <v>26</v>
      </c>
      <c r="I224" s="1" t="s">
        <v>437</v>
      </c>
      <c r="J224" s="14">
        <v>30802</v>
      </c>
      <c r="K224" s="2" t="s">
        <v>27</v>
      </c>
      <c r="L224" s="1" t="s">
        <v>28</v>
      </c>
      <c r="M224" s="2" t="s">
        <v>80</v>
      </c>
      <c r="N224" s="2" t="s">
        <v>82</v>
      </c>
      <c r="O224" s="1" t="s">
        <v>712</v>
      </c>
      <c r="P224" s="1" t="s">
        <v>24</v>
      </c>
      <c r="Q224" s="1" t="s">
        <v>772</v>
      </c>
      <c r="R224" s="1" t="s">
        <v>43</v>
      </c>
      <c r="S224" s="1" t="s">
        <v>44</v>
      </c>
      <c r="W224" s="19"/>
      <c r="X224" s="18" t="str">
        <f t="shared" si="3"/>
        <v/>
      </c>
      <c r="Y224" s="19"/>
    </row>
    <row r="225" spans="1:25" ht="13.5" customHeight="1" x14ac:dyDescent="0.2">
      <c r="A225" s="1">
        <v>87625498752</v>
      </c>
      <c r="B225" s="1" t="s">
        <v>220</v>
      </c>
      <c r="C225" s="1" t="s">
        <v>20</v>
      </c>
      <c r="D225" s="1">
        <v>1234</v>
      </c>
      <c r="E225" s="17" t="s">
        <v>221</v>
      </c>
      <c r="F225" s="1">
        <v>58595433</v>
      </c>
      <c r="G225" s="2" t="s">
        <v>77</v>
      </c>
      <c r="H225" s="1" t="s">
        <v>26</v>
      </c>
      <c r="I225" s="1" t="s">
        <v>438</v>
      </c>
      <c r="J225" s="14">
        <v>-5777</v>
      </c>
      <c r="K225" s="2" t="s">
        <v>27</v>
      </c>
      <c r="L225" s="1" t="s">
        <v>28</v>
      </c>
      <c r="M225" s="2" t="s">
        <v>80</v>
      </c>
      <c r="N225" s="2" t="s">
        <v>52</v>
      </c>
      <c r="O225" s="1" t="s">
        <v>713</v>
      </c>
      <c r="P225" s="1" t="s">
        <v>24</v>
      </c>
      <c r="Q225" s="1" t="s">
        <v>772</v>
      </c>
      <c r="R225" s="1" t="s">
        <v>43</v>
      </c>
      <c r="S225" s="1" t="s">
        <v>44</v>
      </c>
      <c r="W225" s="19"/>
      <c r="X225" s="18" t="str">
        <f t="shared" si="3"/>
        <v/>
      </c>
      <c r="Y225" s="19"/>
    </row>
    <row r="226" spans="1:25" ht="13.5" customHeight="1" x14ac:dyDescent="0.2">
      <c r="A226" s="1">
        <v>87625498752</v>
      </c>
      <c r="B226" s="1" t="s">
        <v>220</v>
      </c>
      <c r="C226" s="1" t="s">
        <v>20</v>
      </c>
      <c r="D226" s="1">
        <v>1234</v>
      </c>
      <c r="E226" s="17" t="s">
        <v>221</v>
      </c>
      <c r="F226" s="1">
        <v>24754996</v>
      </c>
      <c r="G226" s="2" t="s">
        <v>77</v>
      </c>
      <c r="H226" s="1" t="s">
        <v>26</v>
      </c>
      <c r="I226" s="1" t="s">
        <v>439</v>
      </c>
      <c r="J226" s="14">
        <v>43781</v>
      </c>
      <c r="K226" s="2" t="s">
        <v>27</v>
      </c>
      <c r="L226" s="1" t="s">
        <v>28</v>
      </c>
      <c r="M226" s="2" t="s">
        <v>80</v>
      </c>
      <c r="N226" s="2" t="s">
        <v>45</v>
      </c>
      <c r="O226" s="1" t="s">
        <v>714</v>
      </c>
      <c r="P226" s="1" t="s">
        <v>24</v>
      </c>
      <c r="Q226" s="1" t="s">
        <v>772</v>
      </c>
      <c r="R226" s="1" t="s">
        <v>43</v>
      </c>
      <c r="S226" s="1" t="s">
        <v>44</v>
      </c>
      <c r="W226" s="19"/>
      <c r="X226" s="18" t="str">
        <f t="shared" si="3"/>
        <v/>
      </c>
      <c r="Y226" s="19"/>
    </row>
    <row r="227" spans="1:25" ht="13.5" customHeight="1" x14ac:dyDescent="0.2">
      <c r="A227" s="1">
        <v>87625498752</v>
      </c>
      <c r="B227" s="1" t="s">
        <v>220</v>
      </c>
      <c r="C227" s="1" t="s">
        <v>20</v>
      </c>
      <c r="D227" s="1">
        <v>1234</v>
      </c>
      <c r="E227" s="17" t="s">
        <v>221</v>
      </c>
      <c r="F227" s="1">
        <v>89438227</v>
      </c>
      <c r="G227" s="2" t="s">
        <v>77</v>
      </c>
      <c r="H227" s="1" t="s">
        <v>26</v>
      </c>
      <c r="I227" s="1" t="s">
        <v>440</v>
      </c>
      <c r="J227" s="14">
        <v>-43034</v>
      </c>
      <c r="K227" s="2" t="s">
        <v>27</v>
      </c>
      <c r="L227" s="1" t="s">
        <v>28</v>
      </c>
      <c r="M227" s="2" t="s">
        <v>78</v>
      </c>
      <c r="N227" s="2" t="s">
        <v>213</v>
      </c>
      <c r="O227" s="1" t="s">
        <v>715</v>
      </c>
      <c r="P227" s="1" t="s">
        <v>24</v>
      </c>
      <c r="Q227" s="1" t="s">
        <v>772</v>
      </c>
      <c r="R227" s="1" t="s">
        <v>43</v>
      </c>
      <c r="S227" s="1" t="s">
        <v>44</v>
      </c>
      <c r="W227" s="19"/>
      <c r="X227" s="18" t="str">
        <f t="shared" si="3"/>
        <v/>
      </c>
      <c r="Y227" s="19"/>
    </row>
    <row r="228" spans="1:25" ht="13.5" customHeight="1" x14ac:dyDescent="0.2">
      <c r="A228" s="1">
        <v>87625498752</v>
      </c>
      <c r="B228" s="1" t="s">
        <v>220</v>
      </c>
      <c r="C228" s="1" t="s">
        <v>20</v>
      </c>
      <c r="D228" s="1">
        <v>1234</v>
      </c>
      <c r="E228" s="17" t="s">
        <v>221</v>
      </c>
      <c r="F228" s="1">
        <v>51595097</v>
      </c>
      <c r="G228" s="2" t="s">
        <v>77</v>
      </c>
      <c r="H228" s="1" t="s">
        <v>26</v>
      </c>
      <c r="I228" s="1" t="s">
        <v>441</v>
      </c>
      <c r="J228" s="14">
        <v>-11119</v>
      </c>
      <c r="K228" s="2" t="s">
        <v>27</v>
      </c>
      <c r="L228" s="1" t="s">
        <v>28</v>
      </c>
      <c r="M228" s="2" t="s">
        <v>80</v>
      </c>
      <c r="N228" s="2" t="s">
        <v>184</v>
      </c>
      <c r="O228" s="1" t="s">
        <v>716</v>
      </c>
      <c r="P228" s="1" t="s">
        <v>24</v>
      </c>
      <c r="Q228" s="1" t="s">
        <v>772</v>
      </c>
      <c r="R228" s="1" t="s">
        <v>43</v>
      </c>
      <c r="S228" s="1" t="s">
        <v>44</v>
      </c>
      <c r="W228" s="19"/>
      <c r="X228" s="18" t="str">
        <f t="shared" si="3"/>
        <v/>
      </c>
      <c r="Y228" s="19"/>
    </row>
    <row r="229" spans="1:25" ht="13.5" customHeight="1" x14ac:dyDescent="0.2">
      <c r="A229" s="1">
        <v>87625498752</v>
      </c>
      <c r="B229" s="1" t="s">
        <v>220</v>
      </c>
      <c r="C229" s="1" t="s">
        <v>20</v>
      </c>
      <c r="D229" s="1">
        <v>1234</v>
      </c>
      <c r="E229" s="17" t="s">
        <v>221</v>
      </c>
      <c r="F229" s="1">
        <v>43611098</v>
      </c>
      <c r="G229" s="2" t="s">
        <v>77</v>
      </c>
      <c r="H229" s="1" t="s">
        <v>26</v>
      </c>
      <c r="I229" s="1" t="s">
        <v>442</v>
      </c>
      <c r="J229" s="14">
        <v>8193</v>
      </c>
      <c r="K229" s="2" t="s">
        <v>27</v>
      </c>
      <c r="L229" s="1" t="s">
        <v>28</v>
      </c>
      <c r="M229" s="2" t="s">
        <v>80</v>
      </c>
      <c r="N229" s="2" t="s">
        <v>214</v>
      </c>
      <c r="O229" s="1" t="s">
        <v>717</v>
      </c>
      <c r="P229" s="1" t="s">
        <v>24</v>
      </c>
      <c r="Q229" s="1" t="s">
        <v>772</v>
      </c>
      <c r="R229" s="1" t="s">
        <v>43</v>
      </c>
      <c r="S229" s="1" t="s">
        <v>44</v>
      </c>
      <c r="W229" s="19"/>
      <c r="X229" s="18" t="str">
        <f t="shared" si="3"/>
        <v/>
      </c>
      <c r="Y229" s="19"/>
    </row>
    <row r="230" spans="1:25" ht="13.5" customHeight="1" x14ac:dyDescent="0.2">
      <c r="A230" s="1">
        <v>87625498752</v>
      </c>
      <c r="B230" s="1" t="s">
        <v>220</v>
      </c>
      <c r="C230" s="1" t="s">
        <v>20</v>
      </c>
      <c r="D230" s="1">
        <v>1234</v>
      </c>
      <c r="E230" s="17" t="s">
        <v>221</v>
      </c>
      <c r="F230" s="1">
        <v>81328390</v>
      </c>
      <c r="G230" s="2" t="s">
        <v>77</v>
      </c>
      <c r="H230" s="1" t="s">
        <v>26</v>
      </c>
      <c r="I230" s="1" t="s">
        <v>443</v>
      </c>
      <c r="J230" s="14">
        <v>-5193</v>
      </c>
      <c r="K230" s="2" t="s">
        <v>27</v>
      </c>
      <c r="L230" s="1" t="s">
        <v>28</v>
      </c>
      <c r="M230" s="2" t="s">
        <v>80</v>
      </c>
      <c r="N230" s="2" t="s">
        <v>215</v>
      </c>
      <c r="O230" s="1" t="s">
        <v>718</v>
      </c>
      <c r="P230" s="1" t="s">
        <v>24</v>
      </c>
      <c r="Q230" s="1" t="s">
        <v>772</v>
      </c>
      <c r="R230" s="1" t="s">
        <v>43</v>
      </c>
      <c r="S230" s="1" t="s">
        <v>44</v>
      </c>
      <c r="W230" s="19"/>
      <c r="X230" s="18" t="str">
        <f t="shared" si="3"/>
        <v/>
      </c>
      <c r="Y230" s="19"/>
    </row>
    <row r="231" spans="1:25" ht="13.5" customHeight="1" x14ac:dyDescent="0.2">
      <c r="A231" s="1">
        <v>87625498752</v>
      </c>
      <c r="B231" s="1" t="s">
        <v>220</v>
      </c>
      <c r="C231" s="1" t="s">
        <v>20</v>
      </c>
      <c r="D231" s="1">
        <v>1234</v>
      </c>
      <c r="E231" s="17" t="s">
        <v>221</v>
      </c>
      <c r="F231" s="1">
        <v>48719995</v>
      </c>
      <c r="G231" s="2" t="s">
        <v>77</v>
      </c>
      <c r="H231" s="1" t="s">
        <v>26</v>
      </c>
      <c r="I231" s="1" t="s">
        <v>444</v>
      </c>
      <c r="J231" s="14">
        <v>-16333</v>
      </c>
      <c r="K231" s="2" t="s">
        <v>27</v>
      </c>
      <c r="L231" s="1" t="s">
        <v>28</v>
      </c>
      <c r="M231" s="2" t="s">
        <v>80</v>
      </c>
      <c r="N231" s="2" t="s">
        <v>216</v>
      </c>
      <c r="O231" s="1" t="s">
        <v>719</v>
      </c>
      <c r="P231" s="1" t="s">
        <v>24</v>
      </c>
      <c r="Q231" s="1" t="s">
        <v>772</v>
      </c>
      <c r="R231" s="1" t="s">
        <v>43</v>
      </c>
      <c r="S231" s="1" t="s">
        <v>44</v>
      </c>
      <c r="W231" s="19"/>
      <c r="X231" s="18" t="str">
        <f t="shared" si="3"/>
        <v/>
      </c>
      <c r="Y231" s="19"/>
    </row>
    <row r="232" spans="1:25" ht="13.5" customHeight="1" x14ac:dyDescent="0.2">
      <c r="A232" s="1">
        <v>87625498752</v>
      </c>
      <c r="B232" s="1" t="s">
        <v>220</v>
      </c>
      <c r="C232" s="1" t="s">
        <v>20</v>
      </c>
      <c r="D232" s="1">
        <v>1234</v>
      </c>
      <c r="E232" s="17" t="s">
        <v>221</v>
      </c>
      <c r="F232" s="1">
        <v>87966955</v>
      </c>
      <c r="G232" s="2" t="s">
        <v>77</v>
      </c>
      <c r="H232" s="1" t="s">
        <v>26</v>
      </c>
      <c r="I232" s="1" t="s">
        <v>445</v>
      </c>
      <c r="J232" s="14">
        <v>26643</v>
      </c>
      <c r="K232" s="2" t="s">
        <v>27</v>
      </c>
      <c r="L232" s="1" t="s">
        <v>28</v>
      </c>
      <c r="M232" s="2" t="s">
        <v>80</v>
      </c>
      <c r="N232" s="2" t="s">
        <v>130</v>
      </c>
      <c r="O232" s="1" t="s">
        <v>720</v>
      </c>
      <c r="P232" s="1" t="s">
        <v>24</v>
      </c>
      <c r="Q232" s="1" t="s">
        <v>772</v>
      </c>
      <c r="R232" s="1" t="s">
        <v>43</v>
      </c>
      <c r="S232" s="1" t="s">
        <v>44</v>
      </c>
      <c r="W232" s="19"/>
      <c r="X232" s="18" t="str">
        <f t="shared" si="3"/>
        <v/>
      </c>
      <c r="Y232" s="19"/>
    </row>
    <row r="233" spans="1:25" ht="13.5" customHeight="1" x14ac:dyDescent="0.2">
      <c r="A233" s="1">
        <v>87625498752</v>
      </c>
      <c r="B233" s="1" t="s">
        <v>220</v>
      </c>
      <c r="C233" s="1" t="s">
        <v>20</v>
      </c>
      <c r="D233" s="1">
        <v>1234</v>
      </c>
      <c r="E233" s="17" t="s">
        <v>221</v>
      </c>
      <c r="F233" s="1">
        <v>41519808</v>
      </c>
      <c r="G233" s="2" t="s">
        <v>77</v>
      </c>
      <c r="H233" s="1" t="s">
        <v>26</v>
      </c>
      <c r="I233" s="1" t="s">
        <v>446</v>
      </c>
      <c r="J233" s="14">
        <v>-22072</v>
      </c>
      <c r="K233" s="2" t="s">
        <v>27</v>
      </c>
      <c r="L233" s="1" t="s">
        <v>28</v>
      </c>
      <c r="M233" s="2" t="s">
        <v>80</v>
      </c>
      <c r="N233" s="2" t="s">
        <v>130</v>
      </c>
      <c r="O233" s="1" t="s">
        <v>721</v>
      </c>
      <c r="P233" s="1" t="s">
        <v>24</v>
      </c>
      <c r="Q233" s="1" t="s">
        <v>772</v>
      </c>
      <c r="R233" s="1" t="s">
        <v>43</v>
      </c>
      <c r="S233" s="1" t="s">
        <v>44</v>
      </c>
      <c r="W233" s="19"/>
      <c r="X233" s="18" t="str">
        <f t="shared" si="3"/>
        <v/>
      </c>
      <c r="Y233" s="19"/>
    </row>
    <row r="234" spans="1:25" ht="13.5" customHeight="1" x14ac:dyDescent="0.2">
      <c r="A234" s="1">
        <v>87625498752</v>
      </c>
      <c r="B234" s="1" t="s">
        <v>220</v>
      </c>
      <c r="C234" s="1" t="s">
        <v>20</v>
      </c>
      <c r="D234" s="1">
        <v>1234</v>
      </c>
      <c r="E234" s="17" t="s">
        <v>221</v>
      </c>
      <c r="F234" s="1">
        <v>81839160</v>
      </c>
      <c r="G234" s="2" t="s">
        <v>77</v>
      </c>
      <c r="H234" s="1" t="s">
        <v>26</v>
      </c>
      <c r="I234" s="1" t="s">
        <v>447</v>
      </c>
      <c r="J234" s="14">
        <v>35799</v>
      </c>
      <c r="K234" s="2" t="s">
        <v>27</v>
      </c>
      <c r="L234" s="1" t="s">
        <v>28</v>
      </c>
      <c r="M234" s="2" t="s">
        <v>80</v>
      </c>
      <c r="N234" s="2" t="s">
        <v>217</v>
      </c>
      <c r="O234" s="1" t="s">
        <v>722</v>
      </c>
      <c r="P234" s="1" t="s">
        <v>24</v>
      </c>
      <c r="Q234" s="1" t="s">
        <v>772</v>
      </c>
      <c r="R234" s="1" t="s">
        <v>43</v>
      </c>
      <c r="S234" s="1" t="s">
        <v>44</v>
      </c>
      <c r="W234" s="19"/>
      <c r="X234" s="18" t="str">
        <f t="shared" si="3"/>
        <v/>
      </c>
      <c r="Y234" s="19"/>
    </row>
    <row r="235" spans="1:25" ht="13.5" customHeight="1" x14ac:dyDescent="0.2">
      <c r="A235" s="1">
        <v>87625498752</v>
      </c>
      <c r="B235" s="1" t="s">
        <v>220</v>
      </c>
      <c r="C235" s="1" t="s">
        <v>20</v>
      </c>
      <c r="D235" s="1">
        <v>1234</v>
      </c>
      <c r="E235" s="17" t="s">
        <v>221</v>
      </c>
      <c r="F235" s="1">
        <v>24757847</v>
      </c>
      <c r="G235" s="2" t="s">
        <v>77</v>
      </c>
      <c r="H235" s="1" t="s">
        <v>26</v>
      </c>
      <c r="I235" s="1" t="s">
        <v>448</v>
      </c>
      <c r="J235" s="14">
        <v>-28301</v>
      </c>
      <c r="K235" s="2" t="s">
        <v>27</v>
      </c>
      <c r="L235" s="1" t="s">
        <v>28</v>
      </c>
      <c r="M235" s="2" t="s">
        <v>80</v>
      </c>
      <c r="N235" s="2" t="s">
        <v>51</v>
      </c>
      <c r="O235" s="1" t="s">
        <v>723</v>
      </c>
      <c r="P235" s="1" t="s">
        <v>24</v>
      </c>
      <c r="Q235" s="1" t="s">
        <v>772</v>
      </c>
      <c r="R235" s="1" t="s">
        <v>43</v>
      </c>
      <c r="S235" s="1" t="s">
        <v>44</v>
      </c>
      <c r="V235" s="1" t="s">
        <v>29</v>
      </c>
      <c r="W235" s="19"/>
      <c r="X235" s="18" t="str">
        <f t="shared" si="3"/>
        <v/>
      </c>
      <c r="Y235" s="19"/>
    </row>
    <row r="236" spans="1:25" ht="13.5" customHeight="1" x14ac:dyDescent="0.2">
      <c r="A236" s="1">
        <v>87625498752</v>
      </c>
      <c r="B236" s="1" t="s">
        <v>220</v>
      </c>
      <c r="C236" s="1" t="s">
        <v>20</v>
      </c>
      <c r="D236" s="1">
        <v>1234</v>
      </c>
      <c r="E236" s="17" t="s">
        <v>221</v>
      </c>
      <c r="F236" s="1">
        <v>93464538</v>
      </c>
      <c r="G236" s="2" t="s">
        <v>77</v>
      </c>
      <c r="H236" s="1" t="s">
        <v>26</v>
      </c>
      <c r="I236" s="1" t="s">
        <v>449</v>
      </c>
      <c r="J236" s="14">
        <v>-19794</v>
      </c>
      <c r="K236" s="2" t="s">
        <v>27</v>
      </c>
      <c r="L236" s="1" t="s">
        <v>28</v>
      </c>
      <c r="M236" s="2" t="s">
        <v>80</v>
      </c>
      <c r="N236" s="2" t="s">
        <v>218</v>
      </c>
      <c r="O236" s="1" t="s">
        <v>724</v>
      </c>
      <c r="P236" s="1" t="s">
        <v>24</v>
      </c>
      <c r="Q236" s="1" t="s">
        <v>772</v>
      </c>
      <c r="R236" s="1" t="s">
        <v>43</v>
      </c>
      <c r="S236" s="1" t="s">
        <v>44</v>
      </c>
      <c r="W236" s="19"/>
      <c r="X236" s="18" t="str">
        <f t="shared" si="3"/>
        <v/>
      </c>
      <c r="Y236" s="19"/>
    </row>
    <row r="237" spans="1:25" ht="13.5" customHeight="1" x14ac:dyDescent="0.2">
      <c r="A237" s="1">
        <v>87625498752</v>
      </c>
      <c r="B237" s="1" t="s">
        <v>220</v>
      </c>
      <c r="C237" s="1" t="s">
        <v>20</v>
      </c>
      <c r="D237" s="1">
        <v>1234</v>
      </c>
      <c r="E237" s="17" t="s">
        <v>221</v>
      </c>
      <c r="F237" s="1">
        <v>21479075</v>
      </c>
      <c r="G237" s="2" t="s">
        <v>77</v>
      </c>
      <c r="H237" s="1" t="s">
        <v>26</v>
      </c>
      <c r="I237" s="1" t="s">
        <v>450</v>
      </c>
      <c r="J237" s="14">
        <v>-8282</v>
      </c>
      <c r="K237" s="2" t="s">
        <v>27</v>
      </c>
      <c r="L237" s="1" t="s">
        <v>28</v>
      </c>
      <c r="M237" s="2" t="s">
        <v>80</v>
      </c>
      <c r="N237" s="2" t="s">
        <v>219</v>
      </c>
      <c r="O237" s="1" t="s">
        <v>725</v>
      </c>
      <c r="P237" s="1" t="s">
        <v>24</v>
      </c>
      <c r="Q237" s="1" t="s">
        <v>772</v>
      </c>
      <c r="R237" s="1" t="s">
        <v>43</v>
      </c>
      <c r="S237" s="1" t="s">
        <v>44</v>
      </c>
      <c r="W237" s="19"/>
      <c r="X237" s="18" t="str">
        <f t="shared" si="3"/>
        <v/>
      </c>
      <c r="Y237" s="19"/>
    </row>
    <row r="238" spans="1:25" ht="13.5" customHeight="1" x14ac:dyDescent="0.2">
      <c r="A238" s="1">
        <v>87625498752</v>
      </c>
      <c r="B238" s="1" t="s">
        <v>220</v>
      </c>
      <c r="C238" s="1" t="s">
        <v>20</v>
      </c>
      <c r="D238" s="1">
        <v>1234</v>
      </c>
      <c r="E238" s="17" t="s">
        <v>221</v>
      </c>
      <c r="F238" s="1">
        <v>58578663</v>
      </c>
      <c r="G238" s="2" t="s">
        <v>77</v>
      </c>
      <c r="H238" s="1" t="s">
        <v>37</v>
      </c>
      <c r="I238" s="1" t="s">
        <v>451</v>
      </c>
      <c r="J238" s="14">
        <v>18371</v>
      </c>
      <c r="K238" s="2" t="s">
        <v>27</v>
      </c>
      <c r="L238" s="1" t="s">
        <v>28</v>
      </c>
      <c r="M238" s="2" t="s">
        <v>80</v>
      </c>
      <c r="N238" s="2" t="s">
        <v>31</v>
      </c>
      <c r="O238" s="1" t="s">
        <v>726</v>
      </c>
      <c r="P238" s="1" t="s">
        <v>24</v>
      </c>
      <c r="Q238" s="1" t="s">
        <v>772</v>
      </c>
      <c r="R238" s="1" t="s">
        <v>43</v>
      </c>
      <c r="S238" s="1" t="s">
        <v>44</v>
      </c>
      <c r="W238" s="19"/>
      <c r="X238" s="18" t="str">
        <f t="shared" si="3"/>
        <v/>
      </c>
      <c r="Y238" s="19"/>
    </row>
    <row r="239" spans="1:25" ht="13.5" customHeight="1" x14ac:dyDescent="0.2">
      <c r="A239" s="1">
        <v>87625498752</v>
      </c>
      <c r="B239" s="1" t="s">
        <v>220</v>
      </c>
      <c r="C239" s="1" t="s">
        <v>20</v>
      </c>
      <c r="D239" s="1">
        <v>1234</v>
      </c>
      <c r="E239" s="17" t="s">
        <v>221</v>
      </c>
      <c r="F239" s="1">
        <v>54225802</v>
      </c>
      <c r="G239" s="2" t="s">
        <v>77</v>
      </c>
      <c r="H239" s="1" t="s">
        <v>37</v>
      </c>
      <c r="I239" s="1" t="s">
        <v>452</v>
      </c>
      <c r="J239" s="14">
        <v>23827</v>
      </c>
      <c r="K239" s="2" t="s">
        <v>27</v>
      </c>
      <c r="L239" s="1" t="s">
        <v>28</v>
      </c>
      <c r="M239" s="2" t="s">
        <v>80</v>
      </c>
      <c r="N239" s="2" t="s">
        <v>31</v>
      </c>
      <c r="O239" s="1" t="s">
        <v>727</v>
      </c>
      <c r="P239" s="1" t="s">
        <v>24</v>
      </c>
      <c r="Q239" s="1" t="s">
        <v>772</v>
      </c>
      <c r="R239" s="1" t="s">
        <v>43</v>
      </c>
      <c r="S239" s="1" t="s">
        <v>44</v>
      </c>
      <c r="W239" s="19"/>
      <c r="X239" s="18" t="str">
        <f t="shared" si="3"/>
        <v/>
      </c>
      <c r="Y239" s="19"/>
    </row>
    <row r="240" spans="1:25" ht="13.5" customHeight="1" x14ac:dyDescent="0.2">
      <c r="A240" s="1">
        <v>87625498752</v>
      </c>
      <c r="B240" s="1" t="s">
        <v>220</v>
      </c>
      <c r="C240" s="1" t="s">
        <v>20</v>
      </c>
      <c r="D240" s="1">
        <v>1234</v>
      </c>
      <c r="E240" s="17" t="s">
        <v>221</v>
      </c>
      <c r="F240" s="1">
        <v>57827483</v>
      </c>
      <c r="G240" s="2" t="s">
        <v>77</v>
      </c>
      <c r="H240" s="1" t="s">
        <v>37</v>
      </c>
      <c r="I240" s="1" t="s">
        <v>453</v>
      </c>
      <c r="J240" s="14">
        <v>-30273</v>
      </c>
      <c r="K240" s="2" t="s">
        <v>27</v>
      </c>
      <c r="L240" s="1" t="s">
        <v>28</v>
      </c>
      <c r="M240" s="2" t="s">
        <v>80</v>
      </c>
      <c r="N240" s="2" t="s">
        <v>31</v>
      </c>
      <c r="O240" s="1" t="s">
        <v>728</v>
      </c>
      <c r="P240" s="1" t="s">
        <v>24</v>
      </c>
      <c r="Q240" s="1" t="s">
        <v>772</v>
      </c>
      <c r="R240" s="1" t="s">
        <v>43</v>
      </c>
      <c r="S240" s="1" t="s">
        <v>44</v>
      </c>
      <c r="W240" s="19"/>
      <c r="X240" s="18" t="str">
        <f t="shared" si="3"/>
        <v/>
      </c>
      <c r="Y240" s="19"/>
    </row>
    <row r="241" spans="1:25" ht="13.5" customHeight="1" x14ac:dyDescent="0.2">
      <c r="A241" s="1">
        <v>87625498752</v>
      </c>
      <c r="B241" s="1" t="s">
        <v>220</v>
      </c>
      <c r="C241" s="1" t="s">
        <v>20</v>
      </c>
      <c r="D241" s="1">
        <v>1234</v>
      </c>
      <c r="E241" s="17" t="s">
        <v>221</v>
      </c>
      <c r="F241" s="1">
        <v>79489681</v>
      </c>
      <c r="G241" s="2" t="s">
        <v>77</v>
      </c>
      <c r="H241" s="1" t="s">
        <v>30</v>
      </c>
      <c r="I241" s="1" t="s">
        <v>454</v>
      </c>
      <c r="J241" s="14">
        <v>-12933</v>
      </c>
      <c r="K241" s="2" t="s">
        <v>27</v>
      </c>
      <c r="L241" s="1" t="s">
        <v>28</v>
      </c>
      <c r="M241" s="2" t="s">
        <v>78</v>
      </c>
      <c r="N241" s="2" t="s">
        <v>31</v>
      </c>
      <c r="O241" s="1" t="s">
        <v>729</v>
      </c>
      <c r="P241" s="1" t="s">
        <v>24</v>
      </c>
      <c r="Q241" s="1" t="s">
        <v>772</v>
      </c>
      <c r="R241" s="1" t="s">
        <v>43</v>
      </c>
      <c r="S241" s="1" t="s">
        <v>44</v>
      </c>
      <c r="W241" s="19"/>
      <c r="X241" s="18" t="str">
        <f t="shared" si="3"/>
        <v/>
      </c>
      <c r="Y241" s="19"/>
    </row>
    <row r="242" spans="1:25" ht="13.5" customHeight="1" x14ac:dyDescent="0.2">
      <c r="A242" s="1">
        <v>87625498752</v>
      </c>
      <c r="B242" s="1" t="s">
        <v>220</v>
      </c>
      <c r="C242" s="1" t="s">
        <v>20</v>
      </c>
      <c r="D242" s="1">
        <v>1234</v>
      </c>
      <c r="E242" s="17" t="s">
        <v>221</v>
      </c>
      <c r="F242" s="1">
        <v>25195826</v>
      </c>
      <c r="G242" s="2" t="s">
        <v>77</v>
      </c>
      <c r="H242" s="1" t="s">
        <v>30</v>
      </c>
      <c r="I242" s="1" t="s">
        <v>455</v>
      </c>
      <c r="J242" s="14">
        <v>-31368</v>
      </c>
      <c r="K242" s="2" t="s">
        <v>27</v>
      </c>
      <c r="L242" s="1" t="s">
        <v>28</v>
      </c>
      <c r="M242" s="2" t="s">
        <v>78</v>
      </c>
      <c r="N242" s="2" t="s">
        <v>31</v>
      </c>
      <c r="O242" s="1" t="s">
        <v>730</v>
      </c>
      <c r="P242" s="1" t="s">
        <v>24</v>
      </c>
      <c r="Q242" s="1" t="s">
        <v>772</v>
      </c>
      <c r="R242" s="1" t="s">
        <v>43</v>
      </c>
      <c r="S242" s="1" t="s">
        <v>44</v>
      </c>
      <c r="W242" s="19"/>
      <c r="X242" s="18" t="str">
        <f t="shared" si="3"/>
        <v/>
      </c>
      <c r="Y242" s="19"/>
    </row>
    <row r="243" spans="1:25" ht="13.5" customHeight="1" x14ac:dyDescent="0.2">
      <c r="A243" s="1">
        <v>87625498752</v>
      </c>
      <c r="B243" s="1" t="s">
        <v>220</v>
      </c>
      <c r="C243" s="1" t="s">
        <v>20</v>
      </c>
      <c r="D243" s="1">
        <v>1234</v>
      </c>
      <c r="E243" s="17" t="s">
        <v>221</v>
      </c>
      <c r="F243" s="1">
        <v>98664411</v>
      </c>
      <c r="G243" s="2" t="s">
        <v>77</v>
      </c>
      <c r="H243" s="1" t="s">
        <v>30</v>
      </c>
      <c r="I243" s="1" t="s">
        <v>456</v>
      </c>
      <c r="J243" s="14">
        <v>-7889</v>
      </c>
      <c r="K243" s="2" t="s">
        <v>27</v>
      </c>
      <c r="L243" s="1" t="s">
        <v>28</v>
      </c>
      <c r="M243" s="2" t="s">
        <v>78</v>
      </c>
      <c r="N243" s="2" t="s">
        <v>31</v>
      </c>
      <c r="O243" s="1" t="s">
        <v>731</v>
      </c>
      <c r="P243" s="1" t="s">
        <v>24</v>
      </c>
      <c r="Q243" s="1" t="s">
        <v>772</v>
      </c>
      <c r="R243" s="1" t="s">
        <v>43</v>
      </c>
      <c r="S243" s="1" t="s">
        <v>44</v>
      </c>
      <c r="W243" s="19"/>
      <c r="X243" s="18" t="str">
        <f t="shared" si="3"/>
        <v/>
      </c>
      <c r="Y243" s="19"/>
    </row>
    <row r="244" spans="1:25" ht="13.5" customHeight="1" x14ac:dyDescent="0.2">
      <c r="A244" s="1">
        <v>87625498752</v>
      </c>
      <c r="B244" s="1" t="s">
        <v>220</v>
      </c>
      <c r="C244" s="1" t="s">
        <v>20</v>
      </c>
      <c r="D244" s="1">
        <v>1234</v>
      </c>
      <c r="E244" s="17" t="s">
        <v>221</v>
      </c>
      <c r="F244" s="1">
        <v>53588397</v>
      </c>
      <c r="G244" s="2" t="s">
        <v>77</v>
      </c>
      <c r="H244" s="1" t="s">
        <v>30</v>
      </c>
      <c r="I244" s="1" t="s">
        <v>457</v>
      </c>
      <c r="J244" s="14">
        <v>-26485</v>
      </c>
      <c r="K244" s="2" t="s">
        <v>27</v>
      </c>
      <c r="L244" s="1" t="s">
        <v>28</v>
      </c>
      <c r="M244" s="2" t="s">
        <v>80</v>
      </c>
      <c r="N244" s="2" t="s">
        <v>31</v>
      </c>
      <c r="O244" s="1" t="s">
        <v>732</v>
      </c>
      <c r="P244" s="1" t="s">
        <v>24</v>
      </c>
      <c r="Q244" s="1" t="s">
        <v>772</v>
      </c>
      <c r="R244" s="1" t="s">
        <v>43</v>
      </c>
      <c r="S244" s="1" t="s">
        <v>44</v>
      </c>
      <c r="W244" s="19"/>
      <c r="X244" s="18" t="str">
        <f t="shared" si="3"/>
        <v/>
      </c>
      <c r="Y244" s="19"/>
    </row>
    <row r="245" spans="1:25" ht="13.5" customHeight="1" x14ac:dyDescent="0.2">
      <c r="A245" s="1">
        <v>87625498752</v>
      </c>
      <c r="B245" s="1" t="s">
        <v>220</v>
      </c>
      <c r="C245" s="1" t="s">
        <v>20</v>
      </c>
      <c r="D245" s="1">
        <v>1234</v>
      </c>
      <c r="E245" s="17" t="s">
        <v>221</v>
      </c>
      <c r="F245" s="1">
        <v>13285338</v>
      </c>
      <c r="G245" s="2" t="s">
        <v>77</v>
      </c>
      <c r="H245" s="1" t="s">
        <v>30</v>
      </c>
      <c r="I245" s="1" t="s">
        <v>458</v>
      </c>
      <c r="J245" s="14">
        <v>-43022</v>
      </c>
      <c r="K245" s="2" t="s">
        <v>27</v>
      </c>
      <c r="L245" s="1" t="s">
        <v>28</v>
      </c>
      <c r="M245" s="2" t="s">
        <v>80</v>
      </c>
      <c r="N245" s="2" t="s">
        <v>31</v>
      </c>
      <c r="O245" s="1" t="s">
        <v>733</v>
      </c>
      <c r="P245" s="1" t="s">
        <v>24</v>
      </c>
      <c r="Q245" s="1" t="s">
        <v>772</v>
      </c>
      <c r="R245" s="1" t="s">
        <v>43</v>
      </c>
      <c r="S245" s="1" t="s">
        <v>44</v>
      </c>
      <c r="W245" s="19"/>
      <c r="X245" s="18" t="str">
        <f t="shared" si="3"/>
        <v/>
      </c>
      <c r="Y245" s="19"/>
    </row>
    <row r="246" spans="1:25" ht="13.5" customHeight="1" x14ac:dyDescent="0.2">
      <c r="A246" s="1">
        <v>87625498752</v>
      </c>
      <c r="B246" s="1" t="s">
        <v>220</v>
      </c>
      <c r="C246" s="1" t="s">
        <v>20</v>
      </c>
      <c r="D246" s="1">
        <v>1234</v>
      </c>
      <c r="E246" s="17" t="s">
        <v>221</v>
      </c>
      <c r="F246" s="1">
        <v>96280809</v>
      </c>
      <c r="G246" s="2" t="s">
        <v>77</v>
      </c>
      <c r="H246" s="1" t="s">
        <v>30</v>
      </c>
      <c r="I246" s="1" t="s">
        <v>459</v>
      </c>
      <c r="J246" s="14">
        <v>948</v>
      </c>
      <c r="K246" s="2" t="s">
        <v>27</v>
      </c>
      <c r="L246" s="1" t="s">
        <v>28</v>
      </c>
      <c r="M246" s="2" t="s">
        <v>80</v>
      </c>
      <c r="N246" s="2" t="s">
        <v>31</v>
      </c>
      <c r="O246" s="1" t="s">
        <v>734</v>
      </c>
      <c r="P246" s="1" t="s">
        <v>24</v>
      </c>
      <c r="Q246" s="1" t="s">
        <v>772</v>
      </c>
      <c r="R246" s="1" t="s">
        <v>43</v>
      </c>
      <c r="S246" s="1" t="s">
        <v>44</v>
      </c>
      <c r="W246" s="19"/>
      <c r="X246" s="18" t="str">
        <f t="shared" si="3"/>
        <v/>
      </c>
      <c r="Y246" s="19"/>
    </row>
    <row r="247" spans="1:25" ht="13.5" customHeight="1" x14ac:dyDescent="0.2">
      <c r="A247" s="1">
        <v>87625498752</v>
      </c>
      <c r="B247" s="1" t="s">
        <v>220</v>
      </c>
      <c r="C247" s="1" t="s">
        <v>20</v>
      </c>
      <c r="D247" s="1">
        <v>1234</v>
      </c>
      <c r="E247" s="17" t="s">
        <v>221</v>
      </c>
      <c r="F247" s="1">
        <v>17706330</v>
      </c>
      <c r="G247" s="2" t="s">
        <v>77</v>
      </c>
      <c r="H247" s="1" t="s">
        <v>30</v>
      </c>
      <c r="I247" s="1" t="s">
        <v>460</v>
      </c>
      <c r="J247" s="14">
        <v>-19414</v>
      </c>
      <c r="K247" s="2" t="s">
        <v>27</v>
      </c>
      <c r="L247" s="1" t="s">
        <v>28</v>
      </c>
      <c r="M247" s="2" t="s">
        <v>80</v>
      </c>
      <c r="N247" s="2" t="s">
        <v>31</v>
      </c>
      <c r="O247" s="1" t="s">
        <v>735</v>
      </c>
      <c r="P247" s="1" t="s">
        <v>24</v>
      </c>
      <c r="Q247" s="1" t="s">
        <v>772</v>
      </c>
      <c r="R247" s="1" t="s">
        <v>43</v>
      </c>
      <c r="S247" s="1" t="s">
        <v>44</v>
      </c>
      <c r="W247" s="19"/>
      <c r="X247" s="18" t="str">
        <f t="shared" si="3"/>
        <v/>
      </c>
      <c r="Y247" s="19"/>
    </row>
    <row r="248" spans="1:25" ht="13.5" customHeight="1" x14ac:dyDescent="0.2">
      <c r="A248" s="1">
        <v>87625498752</v>
      </c>
      <c r="B248" s="1" t="s">
        <v>220</v>
      </c>
      <c r="C248" s="1" t="s">
        <v>20</v>
      </c>
      <c r="D248" s="1">
        <v>1234</v>
      </c>
      <c r="E248" s="17" t="s">
        <v>221</v>
      </c>
      <c r="F248" s="1">
        <v>87230022</v>
      </c>
      <c r="G248" s="2" t="s">
        <v>77</v>
      </c>
      <c r="H248" s="1" t="s">
        <v>30</v>
      </c>
      <c r="I248" s="1" t="s">
        <v>461</v>
      </c>
      <c r="J248" s="14">
        <v>22910</v>
      </c>
      <c r="K248" s="2" t="s">
        <v>27</v>
      </c>
      <c r="L248" s="1" t="s">
        <v>28</v>
      </c>
      <c r="M248" s="2" t="s">
        <v>80</v>
      </c>
      <c r="N248" s="2" t="s">
        <v>31</v>
      </c>
      <c r="O248" s="1" t="s">
        <v>736</v>
      </c>
      <c r="P248" s="1" t="s">
        <v>24</v>
      </c>
      <c r="Q248" s="1" t="s">
        <v>772</v>
      </c>
      <c r="R248" s="1" t="s">
        <v>43</v>
      </c>
      <c r="S248" s="1" t="s">
        <v>44</v>
      </c>
      <c r="W248" s="19"/>
      <c r="X248" s="18" t="str">
        <f t="shared" si="3"/>
        <v/>
      </c>
      <c r="Y248" s="19"/>
    </row>
    <row r="249" spans="1:25" ht="13.5" customHeight="1" x14ac:dyDescent="0.2">
      <c r="A249" s="1">
        <v>87625498752</v>
      </c>
      <c r="B249" s="1" t="s">
        <v>220</v>
      </c>
      <c r="C249" s="1" t="s">
        <v>20</v>
      </c>
      <c r="D249" s="1">
        <v>1234</v>
      </c>
      <c r="E249" s="17" t="s">
        <v>221</v>
      </c>
      <c r="F249" s="1">
        <v>83017085</v>
      </c>
      <c r="G249" s="2" t="s">
        <v>77</v>
      </c>
      <c r="H249" s="1" t="s">
        <v>30</v>
      </c>
      <c r="I249" s="1" t="s">
        <v>462</v>
      </c>
      <c r="J249" s="14">
        <v>37797</v>
      </c>
      <c r="K249" s="2" t="s">
        <v>27</v>
      </c>
      <c r="L249" s="1" t="s">
        <v>28</v>
      </c>
      <c r="M249" s="2" t="s">
        <v>80</v>
      </c>
      <c r="N249" s="2" t="s">
        <v>31</v>
      </c>
      <c r="O249" s="1" t="s">
        <v>737</v>
      </c>
      <c r="P249" s="1" t="s">
        <v>24</v>
      </c>
      <c r="Q249" s="1" t="s">
        <v>772</v>
      </c>
      <c r="R249" s="1" t="s">
        <v>43</v>
      </c>
      <c r="S249" s="1" t="s">
        <v>44</v>
      </c>
      <c r="W249" s="19"/>
      <c r="X249" s="18" t="str">
        <f t="shared" si="3"/>
        <v/>
      </c>
      <c r="Y249" s="19"/>
    </row>
    <row r="250" spans="1:25" ht="13.5" customHeight="1" x14ac:dyDescent="0.2">
      <c r="A250" s="1">
        <v>87625498752</v>
      </c>
      <c r="B250" s="1" t="s">
        <v>220</v>
      </c>
      <c r="C250" s="1" t="s">
        <v>20</v>
      </c>
      <c r="D250" s="1">
        <v>1234</v>
      </c>
      <c r="E250" s="17" t="s">
        <v>221</v>
      </c>
      <c r="F250" s="1">
        <v>23792033</v>
      </c>
      <c r="G250" s="2" t="s">
        <v>77</v>
      </c>
      <c r="H250" s="1" t="s">
        <v>30</v>
      </c>
      <c r="I250" s="1" t="s">
        <v>463</v>
      </c>
      <c r="J250" s="14">
        <v>48002</v>
      </c>
      <c r="K250" s="2" t="s">
        <v>27</v>
      </c>
      <c r="L250" s="1" t="s">
        <v>28</v>
      </c>
      <c r="M250" s="2" t="s">
        <v>80</v>
      </c>
      <c r="N250" s="2" t="s">
        <v>31</v>
      </c>
      <c r="O250" s="1" t="s">
        <v>738</v>
      </c>
      <c r="P250" s="1" t="s">
        <v>24</v>
      </c>
      <c r="Q250" s="1" t="s">
        <v>772</v>
      </c>
      <c r="R250" s="1" t="s">
        <v>43</v>
      </c>
      <c r="S250" s="1" t="s">
        <v>44</v>
      </c>
      <c r="W250" s="19"/>
      <c r="X250" s="18" t="str">
        <f t="shared" si="3"/>
        <v/>
      </c>
      <c r="Y250" s="19"/>
    </row>
    <row r="251" spans="1:25" ht="13.5" customHeight="1" x14ac:dyDescent="0.2">
      <c r="A251" s="1">
        <v>87625498752</v>
      </c>
      <c r="B251" s="1" t="s">
        <v>220</v>
      </c>
      <c r="C251" s="1" t="s">
        <v>20</v>
      </c>
      <c r="D251" s="1">
        <v>1234</v>
      </c>
      <c r="E251" s="17" t="s">
        <v>221</v>
      </c>
      <c r="F251" s="1">
        <v>82995184</v>
      </c>
      <c r="G251" s="2" t="s">
        <v>77</v>
      </c>
      <c r="H251" s="1" t="s">
        <v>30</v>
      </c>
      <c r="I251" s="1" t="s">
        <v>464</v>
      </c>
      <c r="J251" s="14">
        <v>-29293</v>
      </c>
      <c r="K251" s="2" t="s">
        <v>27</v>
      </c>
      <c r="L251" s="1" t="s">
        <v>28</v>
      </c>
      <c r="M251" s="2" t="s">
        <v>80</v>
      </c>
      <c r="N251" s="2" t="s">
        <v>31</v>
      </c>
      <c r="O251" s="1" t="s">
        <v>739</v>
      </c>
      <c r="P251" s="1" t="s">
        <v>24</v>
      </c>
      <c r="Q251" s="1" t="s">
        <v>772</v>
      </c>
      <c r="R251" s="1" t="s">
        <v>43</v>
      </c>
      <c r="S251" s="1" t="s">
        <v>44</v>
      </c>
      <c r="W251" s="19"/>
      <c r="X251" s="18" t="str">
        <f t="shared" si="3"/>
        <v/>
      </c>
      <c r="Y251" s="19"/>
    </row>
    <row r="252" spans="1:25" ht="13.5" customHeight="1" x14ac:dyDescent="0.2">
      <c r="A252" s="1">
        <v>87625498752</v>
      </c>
      <c r="B252" s="1" t="s">
        <v>220</v>
      </c>
      <c r="C252" s="1" t="s">
        <v>20</v>
      </c>
      <c r="D252" s="1">
        <v>1234</v>
      </c>
      <c r="E252" s="17" t="s">
        <v>221</v>
      </c>
      <c r="F252" s="1">
        <v>47970286</v>
      </c>
      <c r="G252" s="2" t="s">
        <v>77</v>
      </c>
      <c r="H252" s="1" t="s">
        <v>30</v>
      </c>
      <c r="I252" s="1" t="s">
        <v>465</v>
      </c>
      <c r="J252" s="14">
        <v>-12630</v>
      </c>
      <c r="K252" s="2" t="s">
        <v>27</v>
      </c>
      <c r="L252" s="1" t="s">
        <v>28</v>
      </c>
      <c r="M252" s="2" t="s">
        <v>80</v>
      </c>
      <c r="N252" s="2" t="s">
        <v>31</v>
      </c>
      <c r="O252" s="1" t="s">
        <v>740</v>
      </c>
      <c r="P252" s="1" t="s">
        <v>24</v>
      </c>
      <c r="Q252" s="1" t="s">
        <v>772</v>
      </c>
      <c r="R252" s="1" t="s">
        <v>43</v>
      </c>
      <c r="S252" s="1" t="s">
        <v>44</v>
      </c>
      <c r="W252" s="19"/>
      <c r="X252" s="18" t="str">
        <f t="shared" si="3"/>
        <v/>
      </c>
      <c r="Y252" s="19"/>
    </row>
    <row r="253" spans="1:25" ht="13.5" customHeight="1" x14ac:dyDescent="0.2">
      <c r="A253" s="1">
        <v>87625498752</v>
      </c>
      <c r="B253" s="1" t="s">
        <v>220</v>
      </c>
      <c r="C253" s="1" t="s">
        <v>20</v>
      </c>
      <c r="D253" s="1">
        <v>1234</v>
      </c>
      <c r="E253" s="17" t="s">
        <v>221</v>
      </c>
      <c r="F253" s="1">
        <v>19329955</v>
      </c>
      <c r="G253" s="2" t="s">
        <v>77</v>
      </c>
      <c r="H253" s="1" t="s">
        <v>30</v>
      </c>
      <c r="I253" s="1" t="s">
        <v>466</v>
      </c>
      <c r="J253" s="14">
        <v>42058</v>
      </c>
      <c r="K253" s="2" t="s">
        <v>27</v>
      </c>
      <c r="L253" s="1" t="s">
        <v>28</v>
      </c>
      <c r="M253" s="2" t="s">
        <v>80</v>
      </c>
      <c r="N253" s="2" t="s">
        <v>31</v>
      </c>
      <c r="O253" s="1" t="s">
        <v>741</v>
      </c>
      <c r="P253" s="1" t="s">
        <v>24</v>
      </c>
      <c r="Q253" s="1" t="s">
        <v>772</v>
      </c>
      <c r="R253" s="1" t="s">
        <v>43</v>
      </c>
      <c r="S253" s="1" t="s">
        <v>44</v>
      </c>
      <c r="W253" s="19"/>
      <c r="X253" s="18" t="str">
        <f t="shared" si="3"/>
        <v/>
      </c>
      <c r="Y253" s="19"/>
    </row>
    <row r="254" spans="1:25" ht="13.5" customHeight="1" x14ac:dyDescent="0.2">
      <c r="A254" s="1">
        <v>87625498752</v>
      </c>
      <c r="B254" s="1" t="s">
        <v>220</v>
      </c>
      <c r="C254" s="1" t="s">
        <v>20</v>
      </c>
      <c r="D254" s="1">
        <v>1234</v>
      </c>
      <c r="E254" s="17" t="s">
        <v>221</v>
      </c>
      <c r="F254" s="1">
        <v>68788713</v>
      </c>
      <c r="G254" s="2" t="s">
        <v>77</v>
      </c>
      <c r="H254" s="1" t="s">
        <v>30</v>
      </c>
      <c r="I254" s="1" t="s">
        <v>467</v>
      </c>
      <c r="J254" s="14">
        <v>41346</v>
      </c>
      <c r="K254" s="2" t="s">
        <v>27</v>
      </c>
      <c r="L254" s="1" t="s">
        <v>28</v>
      </c>
      <c r="M254" s="2" t="s">
        <v>80</v>
      </c>
      <c r="N254" s="2" t="s">
        <v>31</v>
      </c>
      <c r="O254" s="1" t="s">
        <v>742</v>
      </c>
      <c r="P254" s="1" t="s">
        <v>24</v>
      </c>
      <c r="Q254" s="1" t="s">
        <v>772</v>
      </c>
      <c r="R254" s="1" t="s">
        <v>43</v>
      </c>
      <c r="S254" s="1" t="s">
        <v>44</v>
      </c>
      <c r="W254" s="19"/>
      <c r="X254" s="18" t="str">
        <f t="shared" si="3"/>
        <v/>
      </c>
      <c r="Y254" s="19"/>
    </row>
    <row r="255" spans="1:25" ht="13.5" customHeight="1" x14ac:dyDescent="0.2">
      <c r="A255" s="1">
        <v>87625498752</v>
      </c>
      <c r="B255" s="1" t="s">
        <v>220</v>
      </c>
      <c r="C255" s="1" t="s">
        <v>20</v>
      </c>
      <c r="D255" s="1">
        <v>1234</v>
      </c>
      <c r="E255" s="17" t="s">
        <v>221</v>
      </c>
      <c r="F255" s="1">
        <v>94659315</v>
      </c>
      <c r="G255" s="2" t="s">
        <v>77</v>
      </c>
      <c r="H255" s="1" t="s">
        <v>30</v>
      </c>
      <c r="I255" s="1" t="s">
        <v>468</v>
      </c>
      <c r="J255" s="14">
        <v>33540</v>
      </c>
      <c r="K255" s="2" t="s">
        <v>27</v>
      </c>
      <c r="L255" s="1" t="s">
        <v>28</v>
      </c>
      <c r="M255" s="2" t="s">
        <v>80</v>
      </c>
      <c r="N255" s="2" t="s">
        <v>31</v>
      </c>
      <c r="O255" s="1" t="s">
        <v>743</v>
      </c>
      <c r="P255" s="1" t="s">
        <v>24</v>
      </c>
      <c r="Q255" s="1" t="s">
        <v>772</v>
      </c>
      <c r="R255" s="1" t="s">
        <v>43</v>
      </c>
      <c r="S255" s="1" t="s">
        <v>44</v>
      </c>
      <c r="W255" s="19"/>
      <c r="X255" s="18" t="str">
        <f t="shared" si="3"/>
        <v/>
      </c>
      <c r="Y255" s="19"/>
    </row>
    <row r="256" spans="1:25" ht="13.5" customHeight="1" x14ac:dyDescent="0.2">
      <c r="A256" s="1">
        <v>87625498752</v>
      </c>
      <c r="B256" s="1" t="s">
        <v>220</v>
      </c>
      <c r="C256" s="1" t="s">
        <v>20</v>
      </c>
      <c r="D256" s="1">
        <v>1234</v>
      </c>
      <c r="E256" s="17" t="s">
        <v>221</v>
      </c>
      <c r="F256" s="1">
        <v>44225503</v>
      </c>
      <c r="G256" s="2" t="s">
        <v>77</v>
      </c>
      <c r="H256" s="1" t="s">
        <v>30</v>
      </c>
      <c r="I256" s="1" t="s">
        <v>469</v>
      </c>
      <c r="J256" s="14">
        <v>24667</v>
      </c>
      <c r="K256" s="2" t="s">
        <v>27</v>
      </c>
      <c r="L256" s="1" t="s">
        <v>28</v>
      </c>
      <c r="M256" s="2" t="s">
        <v>80</v>
      </c>
      <c r="N256" s="2" t="s">
        <v>31</v>
      </c>
      <c r="O256" s="1" t="s">
        <v>744</v>
      </c>
      <c r="P256" s="1" t="s">
        <v>24</v>
      </c>
      <c r="Q256" s="1" t="s">
        <v>772</v>
      </c>
      <c r="R256" s="1" t="s">
        <v>43</v>
      </c>
      <c r="S256" s="1" t="s">
        <v>44</v>
      </c>
      <c r="W256" s="19"/>
      <c r="X256" s="18" t="str">
        <f t="shared" si="3"/>
        <v/>
      </c>
      <c r="Y256" s="19"/>
    </row>
    <row r="257" spans="1:25" ht="13.5" customHeight="1" x14ac:dyDescent="0.2">
      <c r="A257" s="1">
        <v>87625498752</v>
      </c>
      <c r="B257" s="1" t="s">
        <v>220</v>
      </c>
      <c r="C257" s="1" t="s">
        <v>20</v>
      </c>
      <c r="D257" s="1">
        <v>1234</v>
      </c>
      <c r="E257" s="17" t="s">
        <v>221</v>
      </c>
      <c r="F257" s="1">
        <v>38114508</v>
      </c>
      <c r="G257" s="2" t="s">
        <v>77</v>
      </c>
      <c r="H257" s="1" t="s">
        <v>30</v>
      </c>
      <c r="I257" s="1" t="s">
        <v>470</v>
      </c>
      <c r="J257" s="14">
        <v>8721</v>
      </c>
      <c r="K257" s="2" t="s">
        <v>27</v>
      </c>
      <c r="L257" s="1" t="s">
        <v>28</v>
      </c>
      <c r="M257" s="2" t="s">
        <v>80</v>
      </c>
      <c r="N257" s="2" t="s">
        <v>31</v>
      </c>
      <c r="O257" s="1" t="s">
        <v>745</v>
      </c>
      <c r="P257" s="1" t="s">
        <v>24</v>
      </c>
      <c r="Q257" s="1" t="s">
        <v>772</v>
      </c>
      <c r="R257" s="1" t="s">
        <v>43</v>
      </c>
      <c r="S257" s="1" t="s">
        <v>44</v>
      </c>
      <c r="W257" s="19"/>
      <c r="X257" s="18" t="str">
        <f t="shared" si="3"/>
        <v/>
      </c>
      <c r="Y257" s="19"/>
    </row>
    <row r="258" spans="1:25" ht="13.5" customHeight="1" x14ac:dyDescent="0.2">
      <c r="A258" s="1">
        <v>87625498752</v>
      </c>
      <c r="B258" s="1" t="s">
        <v>220</v>
      </c>
      <c r="C258" s="1" t="s">
        <v>20</v>
      </c>
      <c r="D258" s="1">
        <v>1234</v>
      </c>
      <c r="E258" s="17" t="s">
        <v>221</v>
      </c>
      <c r="F258" s="1">
        <v>30660753</v>
      </c>
      <c r="G258" s="2" t="s">
        <v>77</v>
      </c>
      <c r="H258" s="1" t="s">
        <v>30</v>
      </c>
      <c r="I258" s="1" t="s">
        <v>471</v>
      </c>
      <c r="J258" s="14">
        <v>-20824</v>
      </c>
      <c r="K258" s="2" t="s">
        <v>27</v>
      </c>
      <c r="L258" s="1" t="s">
        <v>28</v>
      </c>
      <c r="M258" s="2" t="s">
        <v>80</v>
      </c>
      <c r="N258" s="2" t="s">
        <v>31</v>
      </c>
      <c r="O258" s="1" t="s">
        <v>746</v>
      </c>
      <c r="P258" s="1" t="s">
        <v>24</v>
      </c>
      <c r="Q258" s="1" t="s">
        <v>772</v>
      </c>
      <c r="R258" s="1" t="s">
        <v>43</v>
      </c>
      <c r="S258" s="1" t="s">
        <v>44</v>
      </c>
      <c r="W258" s="19"/>
      <c r="X258" s="18" t="str">
        <f t="shared" si="3"/>
        <v/>
      </c>
      <c r="Y258" s="19"/>
    </row>
    <row r="259" spans="1:25" ht="13.5" customHeight="1" x14ac:dyDescent="0.2">
      <c r="A259" s="1">
        <v>87625498752</v>
      </c>
      <c r="B259" s="1" t="s">
        <v>220</v>
      </c>
      <c r="C259" s="1" t="s">
        <v>20</v>
      </c>
      <c r="D259" s="1">
        <v>1234</v>
      </c>
      <c r="E259" s="17" t="s">
        <v>221</v>
      </c>
      <c r="F259" s="1">
        <v>98283907</v>
      </c>
      <c r="G259" s="2" t="s">
        <v>77</v>
      </c>
      <c r="H259" s="1" t="s">
        <v>30</v>
      </c>
      <c r="I259" s="1" t="s">
        <v>472</v>
      </c>
      <c r="J259" s="14">
        <v>-11646</v>
      </c>
      <c r="K259" s="2" t="s">
        <v>27</v>
      </c>
      <c r="L259" s="1" t="s">
        <v>28</v>
      </c>
      <c r="M259" s="2" t="s">
        <v>80</v>
      </c>
      <c r="N259" s="2" t="s">
        <v>31</v>
      </c>
      <c r="O259" s="1" t="s">
        <v>747</v>
      </c>
      <c r="P259" s="1" t="s">
        <v>24</v>
      </c>
      <c r="Q259" s="1" t="s">
        <v>772</v>
      </c>
      <c r="R259" s="1" t="s">
        <v>43</v>
      </c>
      <c r="S259" s="1" t="s">
        <v>44</v>
      </c>
      <c r="W259" s="19"/>
      <c r="X259" s="18" t="str">
        <f t="shared" si="3"/>
        <v/>
      </c>
      <c r="Y259" s="19"/>
    </row>
    <row r="260" spans="1:25" ht="13.5" customHeight="1" x14ac:dyDescent="0.2">
      <c r="A260" s="1">
        <v>87625498752</v>
      </c>
      <c r="B260" s="1" t="s">
        <v>220</v>
      </c>
      <c r="C260" s="1" t="s">
        <v>20</v>
      </c>
      <c r="D260" s="1">
        <v>1234</v>
      </c>
      <c r="E260" s="17" t="s">
        <v>221</v>
      </c>
      <c r="F260" s="1">
        <v>51356003</v>
      </c>
      <c r="G260" s="2" t="s">
        <v>77</v>
      </c>
      <c r="H260" s="1" t="s">
        <v>30</v>
      </c>
      <c r="I260" s="1" t="s">
        <v>473</v>
      </c>
      <c r="J260" s="14">
        <v>-19532</v>
      </c>
      <c r="K260" s="2" t="s">
        <v>27</v>
      </c>
      <c r="L260" s="1" t="s">
        <v>28</v>
      </c>
      <c r="M260" s="2" t="s">
        <v>80</v>
      </c>
      <c r="N260" s="2" t="s">
        <v>31</v>
      </c>
      <c r="O260" s="1" t="s">
        <v>748</v>
      </c>
      <c r="P260" s="1" t="s">
        <v>24</v>
      </c>
      <c r="Q260" s="1" t="s">
        <v>772</v>
      </c>
      <c r="R260" s="1" t="s">
        <v>43</v>
      </c>
      <c r="S260" s="1" t="s">
        <v>44</v>
      </c>
      <c r="W260" s="19"/>
      <c r="X260" s="18" t="str">
        <f t="shared" si="3"/>
        <v/>
      </c>
      <c r="Y260" s="19"/>
    </row>
    <row r="261" spans="1:25" ht="13.5" customHeight="1" x14ac:dyDescent="0.2">
      <c r="A261" s="1">
        <v>87625498752</v>
      </c>
      <c r="B261" s="1" t="s">
        <v>220</v>
      </c>
      <c r="C261" s="1" t="s">
        <v>20</v>
      </c>
      <c r="D261" s="1">
        <v>1234</v>
      </c>
      <c r="E261" s="17" t="s">
        <v>221</v>
      </c>
      <c r="F261" s="1">
        <v>94120386</v>
      </c>
      <c r="G261" s="2" t="s">
        <v>77</v>
      </c>
      <c r="H261" s="1" t="s">
        <v>30</v>
      </c>
      <c r="I261" s="1" t="s">
        <v>474</v>
      </c>
      <c r="J261" s="14">
        <v>-11797</v>
      </c>
      <c r="K261" s="2" t="s">
        <v>27</v>
      </c>
      <c r="L261" s="1" t="s">
        <v>28</v>
      </c>
      <c r="M261" s="2" t="s">
        <v>80</v>
      </c>
      <c r="N261" s="2" t="s">
        <v>31</v>
      </c>
      <c r="O261" s="1" t="s">
        <v>749</v>
      </c>
      <c r="P261" s="1" t="s">
        <v>24</v>
      </c>
      <c r="Q261" s="1" t="s">
        <v>772</v>
      </c>
      <c r="R261" s="1" t="s">
        <v>43</v>
      </c>
      <c r="S261" s="1" t="s">
        <v>44</v>
      </c>
      <c r="W261" s="19"/>
      <c r="X261" s="18" t="str">
        <f t="shared" si="3"/>
        <v/>
      </c>
      <c r="Y261" s="19"/>
    </row>
    <row r="262" spans="1:25" ht="13.5" customHeight="1" x14ac:dyDescent="0.2">
      <c r="A262" s="1">
        <v>87625498752</v>
      </c>
      <c r="B262" s="1" t="s">
        <v>220</v>
      </c>
      <c r="C262" s="1" t="s">
        <v>20</v>
      </c>
      <c r="D262" s="1">
        <v>1234</v>
      </c>
      <c r="E262" s="17" t="s">
        <v>221</v>
      </c>
      <c r="F262" s="1">
        <v>81392952</v>
      </c>
      <c r="G262" s="2" t="s">
        <v>77</v>
      </c>
      <c r="H262" s="1" t="s">
        <v>30</v>
      </c>
      <c r="I262" s="1" t="s">
        <v>475</v>
      </c>
      <c r="J262" s="14">
        <v>33650</v>
      </c>
      <c r="K262" s="2" t="s">
        <v>27</v>
      </c>
      <c r="L262" s="1" t="s">
        <v>28</v>
      </c>
      <c r="M262" s="2" t="s">
        <v>80</v>
      </c>
      <c r="N262" s="2" t="s">
        <v>31</v>
      </c>
      <c r="O262" s="1" t="s">
        <v>750</v>
      </c>
      <c r="P262" s="1" t="s">
        <v>24</v>
      </c>
      <c r="Q262" s="1" t="s">
        <v>772</v>
      </c>
      <c r="R262" s="1" t="s">
        <v>43</v>
      </c>
      <c r="S262" s="1" t="s">
        <v>44</v>
      </c>
      <c r="W262" s="19"/>
      <c r="X262" s="18" t="str">
        <f t="shared" si="3"/>
        <v/>
      </c>
      <c r="Y262" s="19"/>
    </row>
    <row r="263" spans="1:25" ht="13.5" customHeight="1" x14ac:dyDescent="0.2">
      <c r="A263" s="1">
        <v>87625498752</v>
      </c>
      <c r="B263" s="1" t="s">
        <v>220</v>
      </c>
      <c r="C263" s="1" t="s">
        <v>20</v>
      </c>
      <c r="D263" s="1">
        <v>1234</v>
      </c>
      <c r="E263" s="17" t="s">
        <v>221</v>
      </c>
      <c r="F263" s="1">
        <v>63820945</v>
      </c>
      <c r="G263" s="2" t="s">
        <v>77</v>
      </c>
      <c r="H263" s="1" t="s">
        <v>30</v>
      </c>
      <c r="I263" s="1" t="s">
        <v>476</v>
      </c>
      <c r="J263" s="14">
        <v>18208</v>
      </c>
      <c r="K263" s="2" t="s">
        <v>27</v>
      </c>
      <c r="L263" s="1" t="s">
        <v>28</v>
      </c>
      <c r="M263" s="2" t="s">
        <v>80</v>
      </c>
      <c r="N263" s="2" t="s">
        <v>31</v>
      </c>
      <c r="O263" s="1" t="s">
        <v>751</v>
      </c>
      <c r="P263" s="1" t="s">
        <v>24</v>
      </c>
      <c r="Q263" s="1" t="s">
        <v>772</v>
      </c>
      <c r="R263" s="1" t="s">
        <v>43</v>
      </c>
      <c r="S263" s="1" t="s">
        <v>44</v>
      </c>
      <c r="W263" s="19"/>
      <c r="X263" s="18" t="str">
        <f t="shared" si="3"/>
        <v/>
      </c>
      <c r="Y263" s="19"/>
    </row>
    <row r="264" spans="1:25" ht="13.5" customHeight="1" x14ac:dyDescent="0.2">
      <c r="A264" s="1">
        <v>87625498752</v>
      </c>
      <c r="B264" s="1" t="s">
        <v>220</v>
      </c>
      <c r="C264" s="1" t="s">
        <v>20</v>
      </c>
      <c r="D264" s="1">
        <v>1234</v>
      </c>
      <c r="E264" s="17" t="s">
        <v>221</v>
      </c>
      <c r="F264" s="1">
        <v>79612806</v>
      </c>
      <c r="G264" s="2" t="s">
        <v>77</v>
      </c>
      <c r="H264" s="1" t="s">
        <v>30</v>
      </c>
      <c r="I264" s="1" t="s">
        <v>477</v>
      </c>
      <c r="J264" s="14">
        <v>20587</v>
      </c>
      <c r="K264" s="2" t="s">
        <v>27</v>
      </c>
      <c r="L264" s="1" t="s">
        <v>28</v>
      </c>
      <c r="M264" s="2" t="s">
        <v>80</v>
      </c>
      <c r="N264" s="2" t="s">
        <v>31</v>
      </c>
      <c r="O264" s="1" t="s">
        <v>752</v>
      </c>
      <c r="P264" s="1" t="s">
        <v>24</v>
      </c>
      <c r="Q264" s="1" t="s">
        <v>772</v>
      </c>
      <c r="R264" s="1" t="s">
        <v>43</v>
      </c>
      <c r="S264" s="1" t="s">
        <v>44</v>
      </c>
      <c r="W264" s="19"/>
      <c r="X264" s="18" t="str">
        <f t="shared" si="3"/>
        <v/>
      </c>
      <c r="Y264" s="19"/>
    </row>
    <row r="265" spans="1:25" ht="13.5" customHeight="1" x14ac:dyDescent="0.2">
      <c r="A265" s="1">
        <v>87625498752</v>
      </c>
      <c r="B265" s="1" t="s">
        <v>220</v>
      </c>
      <c r="C265" s="1" t="s">
        <v>20</v>
      </c>
      <c r="D265" s="1">
        <v>1234</v>
      </c>
      <c r="E265" s="17" t="s">
        <v>221</v>
      </c>
      <c r="F265" s="1">
        <v>27214300</v>
      </c>
      <c r="G265" s="2" t="s">
        <v>77</v>
      </c>
      <c r="H265" s="1" t="s">
        <v>30</v>
      </c>
      <c r="I265" s="1" t="s">
        <v>478</v>
      </c>
      <c r="J265" s="14">
        <v>-17486</v>
      </c>
      <c r="K265" s="2" t="s">
        <v>27</v>
      </c>
      <c r="L265" s="1" t="s">
        <v>28</v>
      </c>
      <c r="M265" s="2" t="s">
        <v>80</v>
      </c>
      <c r="N265" s="2" t="s">
        <v>31</v>
      </c>
      <c r="O265" s="1" t="s">
        <v>753</v>
      </c>
      <c r="P265" s="1" t="s">
        <v>24</v>
      </c>
      <c r="Q265" s="1" t="s">
        <v>772</v>
      </c>
      <c r="R265" s="1" t="s">
        <v>43</v>
      </c>
      <c r="S265" s="1" t="s">
        <v>44</v>
      </c>
      <c r="W265" s="19"/>
      <c r="X265" s="18" t="str">
        <f t="shared" si="3"/>
        <v/>
      </c>
      <c r="Y265" s="19"/>
    </row>
    <row r="266" spans="1:25" ht="13.5" customHeight="1" x14ac:dyDescent="0.2">
      <c r="A266" s="1">
        <v>87625498752</v>
      </c>
      <c r="B266" s="1" t="s">
        <v>220</v>
      </c>
      <c r="C266" s="1" t="s">
        <v>20</v>
      </c>
      <c r="D266" s="1">
        <v>1234</v>
      </c>
      <c r="E266" s="17" t="s">
        <v>221</v>
      </c>
      <c r="F266" s="1">
        <v>61004722</v>
      </c>
      <c r="G266" s="2" t="s">
        <v>77</v>
      </c>
      <c r="H266" s="1" t="s">
        <v>30</v>
      </c>
      <c r="I266" s="1" t="s">
        <v>479</v>
      </c>
      <c r="J266" s="14">
        <v>-25306</v>
      </c>
      <c r="K266" s="2" t="s">
        <v>27</v>
      </c>
      <c r="L266" s="1" t="s">
        <v>28</v>
      </c>
      <c r="M266" s="2" t="s">
        <v>80</v>
      </c>
      <c r="N266" s="2" t="s">
        <v>31</v>
      </c>
      <c r="O266" s="1" t="s">
        <v>754</v>
      </c>
      <c r="P266" s="1" t="s">
        <v>24</v>
      </c>
      <c r="Q266" s="1" t="s">
        <v>772</v>
      </c>
      <c r="R266" s="1" t="s">
        <v>43</v>
      </c>
      <c r="S266" s="1" t="s">
        <v>44</v>
      </c>
      <c r="W266" s="19"/>
      <c r="X266" s="18" t="str">
        <f t="shared" ref="X266:X329" si="4">IF(D266="0001","3rd Party","")</f>
        <v/>
      </c>
      <c r="Y266" s="19"/>
    </row>
    <row r="267" spans="1:25" ht="13.5" customHeight="1" x14ac:dyDescent="0.2">
      <c r="A267" s="1">
        <v>87625498752</v>
      </c>
      <c r="B267" s="1" t="s">
        <v>220</v>
      </c>
      <c r="C267" s="1" t="s">
        <v>20</v>
      </c>
      <c r="D267" s="1">
        <v>1234</v>
      </c>
      <c r="E267" s="17" t="s">
        <v>221</v>
      </c>
      <c r="F267" s="1">
        <v>97465271</v>
      </c>
      <c r="G267" s="2" t="s">
        <v>77</v>
      </c>
      <c r="H267" s="1" t="s">
        <v>30</v>
      </c>
      <c r="I267" s="1" t="s">
        <v>480</v>
      </c>
      <c r="J267" s="14">
        <v>-36547</v>
      </c>
      <c r="K267" s="2" t="s">
        <v>27</v>
      </c>
      <c r="L267" s="1" t="s">
        <v>28</v>
      </c>
      <c r="M267" s="2" t="s">
        <v>80</v>
      </c>
      <c r="N267" s="2" t="s">
        <v>31</v>
      </c>
      <c r="O267" s="1" t="s">
        <v>755</v>
      </c>
      <c r="P267" s="1" t="s">
        <v>24</v>
      </c>
      <c r="Q267" s="1" t="s">
        <v>772</v>
      </c>
      <c r="R267" s="1" t="s">
        <v>43</v>
      </c>
      <c r="S267" s="1" t="s">
        <v>44</v>
      </c>
      <c r="W267" s="19"/>
      <c r="X267" s="18" t="str">
        <f t="shared" si="4"/>
        <v/>
      </c>
      <c r="Y267" s="19"/>
    </row>
    <row r="268" spans="1:25" ht="13.5" customHeight="1" x14ac:dyDescent="0.2">
      <c r="A268" s="1">
        <v>87625498752</v>
      </c>
      <c r="B268" s="1" t="s">
        <v>220</v>
      </c>
      <c r="C268" s="1" t="s">
        <v>20</v>
      </c>
      <c r="D268" s="1">
        <v>1234</v>
      </c>
      <c r="E268" s="17" t="s">
        <v>221</v>
      </c>
      <c r="F268" s="1">
        <v>29761968</v>
      </c>
      <c r="G268" s="2" t="s">
        <v>77</v>
      </c>
      <c r="H268" s="1" t="s">
        <v>30</v>
      </c>
      <c r="I268" s="1" t="s">
        <v>481</v>
      </c>
      <c r="J268" s="14">
        <v>-17058</v>
      </c>
      <c r="K268" s="2" t="s">
        <v>27</v>
      </c>
      <c r="L268" s="1" t="s">
        <v>28</v>
      </c>
      <c r="M268" s="2" t="s">
        <v>80</v>
      </c>
      <c r="N268" s="2" t="s">
        <v>31</v>
      </c>
      <c r="O268" s="1" t="s">
        <v>756</v>
      </c>
      <c r="P268" s="1" t="s">
        <v>24</v>
      </c>
      <c r="Q268" s="1" t="s">
        <v>772</v>
      </c>
      <c r="R268" s="1" t="s">
        <v>43</v>
      </c>
      <c r="S268" s="1" t="s">
        <v>44</v>
      </c>
      <c r="W268" s="19"/>
      <c r="X268" s="18" t="str">
        <f t="shared" si="4"/>
        <v/>
      </c>
      <c r="Y268" s="19"/>
    </row>
    <row r="269" spans="1:25" ht="13.5" customHeight="1" x14ac:dyDescent="0.2">
      <c r="A269" s="1">
        <v>87625498752</v>
      </c>
      <c r="B269" s="1" t="s">
        <v>220</v>
      </c>
      <c r="C269" s="1" t="s">
        <v>20</v>
      </c>
      <c r="D269" s="1">
        <v>1234</v>
      </c>
      <c r="E269" s="17" t="s">
        <v>221</v>
      </c>
      <c r="F269" s="1">
        <v>78471340</v>
      </c>
      <c r="G269" s="2" t="s">
        <v>77</v>
      </c>
      <c r="H269" s="1" t="s">
        <v>30</v>
      </c>
      <c r="I269" s="1" t="s">
        <v>482</v>
      </c>
      <c r="J269" s="14">
        <v>-26923</v>
      </c>
      <c r="K269" s="2" t="s">
        <v>27</v>
      </c>
      <c r="L269" s="1" t="s">
        <v>28</v>
      </c>
      <c r="M269" s="2" t="s">
        <v>80</v>
      </c>
      <c r="N269" s="2" t="s">
        <v>31</v>
      </c>
      <c r="O269" s="1" t="s">
        <v>757</v>
      </c>
      <c r="P269" s="1" t="s">
        <v>24</v>
      </c>
      <c r="Q269" s="1" t="s">
        <v>772</v>
      </c>
      <c r="R269" s="1" t="s">
        <v>43</v>
      </c>
      <c r="S269" s="1" t="s">
        <v>44</v>
      </c>
      <c r="W269" s="19"/>
      <c r="X269" s="18" t="str">
        <f t="shared" si="4"/>
        <v/>
      </c>
      <c r="Y269" s="19"/>
    </row>
    <row r="270" spans="1:25" ht="13.5" customHeight="1" x14ac:dyDescent="0.2">
      <c r="A270" s="1">
        <v>87625498752</v>
      </c>
      <c r="B270" s="1" t="s">
        <v>220</v>
      </c>
      <c r="C270" s="1" t="s">
        <v>20</v>
      </c>
      <c r="D270" s="1">
        <v>1234</v>
      </c>
      <c r="E270" s="17" t="s">
        <v>221</v>
      </c>
      <c r="F270" s="1">
        <v>62660543</v>
      </c>
      <c r="G270" s="2" t="s">
        <v>77</v>
      </c>
      <c r="H270" s="1" t="s">
        <v>30</v>
      </c>
      <c r="I270" s="1" t="s">
        <v>483</v>
      </c>
      <c r="J270" s="14">
        <v>-4795</v>
      </c>
      <c r="K270" s="2" t="s">
        <v>27</v>
      </c>
      <c r="L270" s="1" t="s">
        <v>28</v>
      </c>
      <c r="M270" s="2" t="s">
        <v>80</v>
      </c>
      <c r="N270" s="2" t="s">
        <v>31</v>
      </c>
      <c r="O270" s="1" t="s">
        <v>758</v>
      </c>
      <c r="P270" s="1" t="s">
        <v>24</v>
      </c>
      <c r="Q270" s="1" t="s">
        <v>772</v>
      </c>
      <c r="R270" s="1" t="s">
        <v>43</v>
      </c>
      <c r="S270" s="1" t="s">
        <v>44</v>
      </c>
      <c r="W270" s="19"/>
      <c r="X270" s="18" t="str">
        <f t="shared" si="4"/>
        <v/>
      </c>
      <c r="Y270" s="19"/>
    </row>
    <row r="271" spans="1:25" ht="13.5" customHeight="1" x14ac:dyDescent="0.2">
      <c r="A271" s="1">
        <v>87625498752</v>
      </c>
      <c r="B271" s="1" t="s">
        <v>220</v>
      </c>
      <c r="C271" s="1" t="s">
        <v>20</v>
      </c>
      <c r="D271" s="1">
        <v>1234</v>
      </c>
      <c r="E271" s="17" t="s">
        <v>221</v>
      </c>
      <c r="F271" s="1">
        <v>25588665</v>
      </c>
      <c r="G271" s="2" t="s">
        <v>77</v>
      </c>
      <c r="H271" s="1" t="s">
        <v>30</v>
      </c>
      <c r="I271" s="1" t="s">
        <v>484</v>
      </c>
      <c r="J271" s="14">
        <v>-30268</v>
      </c>
      <c r="K271" s="2" t="s">
        <v>27</v>
      </c>
      <c r="L271" s="1" t="s">
        <v>28</v>
      </c>
      <c r="M271" s="2" t="s">
        <v>80</v>
      </c>
      <c r="N271" s="2" t="s">
        <v>31</v>
      </c>
      <c r="O271" s="1" t="s">
        <v>759</v>
      </c>
      <c r="P271" s="1" t="s">
        <v>24</v>
      </c>
      <c r="Q271" s="1" t="s">
        <v>772</v>
      </c>
      <c r="R271" s="1" t="s">
        <v>43</v>
      </c>
      <c r="S271" s="1" t="s">
        <v>44</v>
      </c>
      <c r="W271" s="19"/>
      <c r="X271" s="18" t="str">
        <f t="shared" si="4"/>
        <v/>
      </c>
      <c r="Y271" s="19"/>
    </row>
    <row r="272" spans="1:25" ht="13.5" customHeight="1" x14ac:dyDescent="0.2">
      <c r="A272" s="1">
        <v>87625498752</v>
      </c>
      <c r="B272" s="1" t="s">
        <v>220</v>
      </c>
      <c r="C272" s="1" t="s">
        <v>20</v>
      </c>
      <c r="D272" s="1">
        <v>1234</v>
      </c>
      <c r="E272" s="17" t="s">
        <v>221</v>
      </c>
      <c r="F272" s="1">
        <v>48329575</v>
      </c>
      <c r="G272" s="2" t="s">
        <v>77</v>
      </c>
      <c r="H272" s="1" t="s">
        <v>30</v>
      </c>
      <c r="I272" s="1" t="s">
        <v>485</v>
      </c>
      <c r="J272" s="14">
        <v>-5668</v>
      </c>
      <c r="K272" s="2" t="s">
        <v>27</v>
      </c>
      <c r="L272" s="1" t="s">
        <v>28</v>
      </c>
      <c r="M272" s="2" t="s">
        <v>80</v>
      </c>
      <c r="N272" s="2" t="s">
        <v>31</v>
      </c>
      <c r="O272" s="1" t="s">
        <v>760</v>
      </c>
      <c r="P272" s="1" t="s">
        <v>24</v>
      </c>
      <c r="Q272" s="1" t="s">
        <v>772</v>
      </c>
      <c r="R272" s="1" t="s">
        <v>43</v>
      </c>
      <c r="S272" s="1" t="s">
        <v>44</v>
      </c>
      <c r="W272" s="19"/>
      <c r="X272" s="18" t="str">
        <f t="shared" si="4"/>
        <v/>
      </c>
      <c r="Y272" s="19"/>
    </row>
    <row r="273" spans="1:25" ht="13.5" customHeight="1" x14ac:dyDescent="0.2">
      <c r="A273" s="1">
        <v>87625498752</v>
      </c>
      <c r="B273" s="1" t="s">
        <v>220</v>
      </c>
      <c r="C273" s="1" t="s">
        <v>20</v>
      </c>
      <c r="D273" s="1">
        <v>1234</v>
      </c>
      <c r="E273" s="17" t="s">
        <v>221</v>
      </c>
      <c r="F273" s="1">
        <v>73469683</v>
      </c>
      <c r="G273" s="2" t="s">
        <v>77</v>
      </c>
      <c r="H273" s="1" t="s">
        <v>30</v>
      </c>
      <c r="I273" s="1" t="s">
        <v>486</v>
      </c>
      <c r="J273" s="14">
        <v>31900</v>
      </c>
      <c r="K273" s="2" t="s">
        <v>27</v>
      </c>
      <c r="L273" s="1" t="s">
        <v>28</v>
      </c>
      <c r="M273" s="2" t="s">
        <v>80</v>
      </c>
      <c r="N273" s="2" t="s">
        <v>31</v>
      </c>
      <c r="O273" s="1" t="s">
        <v>761</v>
      </c>
      <c r="P273" s="1" t="s">
        <v>24</v>
      </c>
      <c r="Q273" s="1" t="s">
        <v>772</v>
      </c>
      <c r="R273" s="1" t="s">
        <v>43</v>
      </c>
      <c r="S273" s="1" t="s">
        <v>44</v>
      </c>
      <c r="W273" s="19"/>
      <c r="X273" s="18" t="str">
        <f t="shared" si="4"/>
        <v/>
      </c>
      <c r="Y273" s="19"/>
    </row>
    <row r="274" spans="1:25" ht="13.5" customHeight="1" x14ac:dyDescent="0.2">
      <c r="A274" s="1">
        <v>87625498752</v>
      </c>
      <c r="B274" s="1" t="s">
        <v>220</v>
      </c>
      <c r="C274" s="1" t="s">
        <v>20</v>
      </c>
      <c r="D274" s="1">
        <v>1234</v>
      </c>
      <c r="E274" s="17" t="s">
        <v>221</v>
      </c>
      <c r="F274" s="1">
        <v>33850553</v>
      </c>
      <c r="G274" s="2" t="s">
        <v>77</v>
      </c>
      <c r="H274" s="1" t="s">
        <v>30</v>
      </c>
      <c r="I274" s="1" t="s">
        <v>487</v>
      </c>
      <c r="J274" s="14">
        <v>6931</v>
      </c>
      <c r="K274" s="2" t="s">
        <v>27</v>
      </c>
      <c r="L274" s="1" t="s">
        <v>28</v>
      </c>
      <c r="M274" s="2" t="s">
        <v>80</v>
      </c>
      <c r="N274" s="2" t="s">
        <v>31</v>
      </c>
      <c r="O274" s="1" t="s">
        <v>762</v>
      </c>
      <c r="P274" s="1" t="s">
        <v>24</v>
      </c>
      <c r="Q274" s="1" t="s">
        <v>772</v>
      </c>
      <c r="R274" s="1" t="s">
        <v>43</v>
      </c>
      <c r="S274" s="1" t="s">
        <v>44</v>
      </c>
      <c r="W274" s="19"/>
      <c r="X274" s="18" t="str">
        <f t="shared" si="4"/>
        <v/>
      </c>
      <c r="Y274" s="19"/>
    </row>
    <row r="275" spans="1:25" ht="13.5" customHeight="1" x14ac:dyDescent="0.2">
      <c r="A275" s="1">
        <v>87625498752</v>
      </c>
      <c r="B275" s="1" t="s">
        <v>220</v>
      </c>
      <c r="C275" s="1" t="s">
        <v>20</v>
      </c>
      <c r="D275" s="1">
        <v>1234</v>
      </c>
      <c r="E275" s="17" t="s">
        <v>221</v>
      </c>
      <c r="F275" s="1">
        <v>33146668</v>
      </c>
      <c r="G275" s="2" t="s">
        <v>77</v>
      </c>
      <c r="H275" s="1" t="s">
        <v>30</v>
      </c>
      <c r="I275" s="1" t="s">
        <v>488</v>
      </c>
      <c r="J275" s="14">
        <v>14563</v>
      </c>
      <c r="K275" s="2" t="s">
        <v>27</v>
      </c>
      <c r="L275" s="1" t="s">
        <v>28</v>
      </c>
      <c r="M275" s="2" t="s">
        <v>80</v>
      </c>
      <c r="N275" s="2" t="s">
        <v>31</v>
      </c>
      <c r="O275" s="1" t="s">
        <v>763</v>
      </c>
      <c r="P275" s="1" t="s">
        <v>24</v>
      </c>
      <c r="Q275" s="1" t="s">
        <v>772</v>
      </c>
      <c r="R275" s="1" t="s">
        <v>43</v>
      </c>
      <c r="S275" s="1" t="s">
        <v>44</v>
      </c>
      <c r="W275" s="19"/>
      <c r="X275" s="18" t="str">
        <f t="shared" si="4"/>
        <v/>
      </c>
      <c r="Y275" s="19"/>
    </row>
    <row r="276" spans="1:25" ht="13.5" customHeight="1" x14ac:dyDescent="0.2">
      <c r="A276" s="1">
        <v>87625498752</v>
      </c>
      <c r="B276" s="1" t="s">
        <v>220</v>
      </c>
      <c r="C276" s="1" t="s">
        <v>20</v>
      </c>
      <c r="D276" s="1">
        <v>1234</v>
      </c>
      <c r="E276" s="17" t="s">
        <v>221</v>
      </c>
      <c r="F276" s="1">
        <v>35779162</v>
      </c>
      <c r="G276" s="2" t="s">
        <v>77</v>
      </c>
      <c r="H276" s="1" t="s">
        <v>30</v>
      </c>
      <c r="I276" s="1" t="s">
        <v>489</v>
      </c>
      <c r="J276" s="14">
        <v>-43711</v>
      </c>
      <c r="K276" s="2" t="s">
        <v>27</v>
      </c>
      <c r="L276" s="1" t="s">
        <v>28</v>
      </c>
      <c r="M276" s="2" t="s">
        <v>80</v>
      </c>
      <c r="N276" s="2" t="s">
        <v>31</v>
      </c>
      <c r="O276" s="1" t="s">
        <v>764</v>
      </c>
      <c r="P276" s="1" t="s">
        <v>24</v>
      </c>
      <c r="Q276" s="1" t="s">
        <v>772</v>
      </c>
      <c r="R276" s="1" t="s">
        <v>43</v>
      </c>
      <c r="S276" s="1" t="s">
        <v>44</v>
      </c>
      <c r="W276" s="19"/>
      <c r="X276" s="18" t="str">
        <f t="shared" si="4"/>
        <v/>
      </c>
      <c r="Y276" s="19"/>
    </row>
    <row r="277" spans="1:25" ht="13.5" customHeight="1" x14ac:dyDescent="0.2">
      <c r="A277" s="1">
        <v>87625498752</v>
      </c>
      <c r="B277" s="1" t="s">
        <v>220</v>
      </c>
      <c r="C277" s="1" t="s">
        <v>20</v>
      </c>
      <c r="D277" s="1">
        <v>1234</v>
      </c>
      <c r="E277" s="17" t="s">
        <v>221</v>
      </c>
      <c r="F277" s="1">
        <v>61434341</v>
      </c>
      <c r="G277" s="2" t="s">
        <v>77</v>
      </c>
      <c r="H277" s="1" t="s">
        <v>30</v>
      </c>
      <c r="I277" s="1" t="s">
        <v>490</v>
      </c>
      <c r="J277" s="14">
        <v>44020</v>
      </c>
      <c r="K277" s="2" t="s">
        <v>27</v>
      </c>
      <c r="L277" s="1" t="s">
        <v>28</v>
      </c>
      <c r="M277" s="2" t="s">
        <v>80</v>
      </c>
      <c r="N277" s="2" t="s">
        <v>31</v>
      </c>
      <c r="O277" s="1" t="s">
        <v>765</v>
      </c>
      <c r="P277" s="1" t="s">
        <v>24</v>
      </c>
      <c r="Q277" s="1" t="s">
        <v>772</v>
      </c>
      <c r="R277" s="1" t="s">
        <v>43</v>
      </c>
      <c r="S277" s="1" t="s">
        <v>44</v>
      </c>
      <c r="W277" s="19"/>
      <c r="X277" s="18" t="str">
        <f t="shared" si="4"/>
        <v/>
      </c>
      <c r="Y277" s="19"/>
    </row>
    <row r="278" spans="1:25" ht="13.5" customHeight="1" x14ac:dyDescent="0.2">
      <c r="A278" s="1">
        <v>87625498752</v>
      </c>
      <c r="B278" s="1" t="s">
        <v>220</v>
      </c>
      <c r="C278" s="1" t="s">
        <v>20</v>
      </c>
      <c r="D278" s="1">
        <v>1234</v>
      </c>
      <c r="E278" s="17" t="s">
        <v>221</v>
      </c>
      <c r="F278" s="1">
        <v>70444277</v>
      </c>
      <c r="G278" s="2" t="s">
        <v>77</v>
      </c>
      <c r="H278" s="1" t="s">
        <v>30</v>
      </c>
      <c r="I278" s="1" t="s">
        <v>491</v>
      </c>
      <c r="J278" s="14">
        <v>45843</v>
      </c>
      <c r="K278" s="2" t="s">
        <v>27</v>
      </c>
      <c r="L278" s="1" t="s">
        <v>28</v>
      </c>
      <c r="M278" s="2" t="s">
        <v>80</v>
      </c>
      <c r="N278" s="2" t="s">
        <v>31</v>
      </c>
      <c r="O278" s="1" t="s">
        <v>766</v>
      </c>
      <c r="P278" s="1" t="s">
        <v>24</v>
      </c>
      <c r="Q278" s="1" t="s">
        <v>772</v>
      </c>
      <c r="R278" s="1" t="s">
        <v>43</v>
      </c>
      <c r="S278" s="1" t="s">
        <v>44</v>
      </c>
      <c r="W278" s="19"/>
      <c r="X278" s="18" t="str">
        <f t="shared" si="4"/>
        <v/>
      </c>
      <c r="Y278" s="19"/>
    </row>
    <row r="279" spans="1:25" ht="13.5" customHeight="1" x14ac:dyDescent="0.2">
      <c r="A279" s="1">
        <v>87625498752</v>
      </c>
      <c r="B279" s="1" t="s">
        <v>220</v>
      </c>
      <c r="C279" s="1" t="s">
        <v>20</v>
      </c>
      <c r="D279" s="1">
        <v>1234</v>
      </c>
      <c r="E279" s="17" t="s">
        <v>221</v>
      </c>
      <c r="F279" s="1">
        <v>70568092</v>
      </c>
      <c r="G279" s="2" t="s">
        <v>77</v>
      </c>
      <c r="H279" s="1" t="s">
        <v>30</v>
      </c>
      <c r="I279" s="1" t="s">
        <v>492</v>
      </c>
      <c r="J279" s="14">
        <v>1750</v>
      </c>
      <c r="K279" s="2" t="s">
        <v>27</v>
      </c>
      <c r="L279" s="1" t="s">
        <v>28</v>
      </c>
      <c r="M279" s="2" t="s">
        <v>80</v>
      </c>
      <c r="N279" s="2" t="s">
        <v>31</v>
      </c>
      <c r="O279" s="1" t="s">
        <v>767</v>
      </c>
      <c r="P279" s="1" t="s">
        <v>24</v>
      </c>
      <c r="Q279" s="1" t="s">
        <v>772</v>
      </c>
      <c r="R279" s="1" t="s">
        <v>43</v>
      </c>
      <c r="S279" s="1" t="s">
        <v>44</v>
      </c>
      <c r="W279" s="19"/>
      <c r="X279" s="18" t="str">
        <f t="shared" si="4"/>
        <v/>
      </c>
      <c r="Y279" s="19"/>
    </row>
    <row r="280" spans="1:25" ht="13.5" customHeight="1" x14ac:dyDescent="0.2">
      <c r="A280" s="1">
        <v>87625498752</v>
      </c>
      <c r="B280" s="1" t="s">
        <v>220</v>
      </c>
      <c r="C280" s="1" t="s">
        <v>20</v>
      </c>
      <c r="D280" s="1">
        <v>1234</v>
      </c>
      <c r="E280" s="17" t="s">
        <v>221</v>
      </c>
      <c r="F280" s="1">
        <v>13132416</v>
      </c>
      <c r="G280" s="2" t="s">
        <v>77</v>
      </c>
      <c r="H280" s="1" t="s">
        <v>30</v>
      </c>
      <c r="I280" s="1" t="s">
        <v>493</v>
      </c>
      <c r="J280" s="14">
        <v>27091</v>
      </c>
      <c r="K280" s="2" t="s">
        <v>27</v>
      </c>
      <c r="L280" s="1" t="s">
        <v>28</v>
      </c>
      <c r="M280" s="2" t="s">
        <v>80</v>
      </c>
      <c r="N280" s="2" t="s">
        <v>31</v>
      </c>
      <c r="O280" s="1" t="s">
        <v>768</v>
      </c>
      <c r="P280" s="1" t="s">
        <v>24</v>
      </c>
      <c r="Q280" s="1" t="s">
        <v>772</v>
      </c>
      <c r="R280" s="1" t="s">
        <v>43</v>
      </c>
      <c r="S280" s="1" t="s">
        <v>44</v>
      </c>
      <c r="W280" s="19"/>
      <c r="X280" s="18" t="str">
        <f t="shared" si="4"/>
        <v/>
      </c>
      <c r="Y280" s="19"/>
    </row>
    <row r="281" spans="1:25" ht="13.5" customHeight="1" x14ac:dyDescent="0.2">
      <c r="A281" s="1">
        <v>87625498752</v>
      </c>
      <c r="B281" s="1" t="s">
        <v>220</v>
      </c>
      <c r="C281" s="1" t="s">
        <v>20</v>
      </c>
      <c r="D281" s="1">
        <v>1234</v>
      </c>
      <c r="E281" s="17" t="s">
        <v>221</v>
      </c>
      <c r="F281" s="1">
        <v>31507015</v>
      </c>
      <c r="G281" s="2" t="s">
        <v>77</v>
      </c>
      <c r="H281" s="1" t="s">
        <v>30</v>
      </c>
      <c r="I281" s="1" t="s">
        <v>494</v>
      </c>
      <c r="J281" s="14">
        <v>43666</v>
      </c>
      <c r="K281" s="2" t="s">
        <v>27</v>
      </c>
      <c r="L281" s="1" t="s">
        <v>28</v>
      </c>
      <c r="M281" s="2" t="s">
        <v>80</v>
      </c>
      <c r="N281" s="2" t="s">
        <v>31</v>
      </c>
      <c r="O281" s="1" t="s">
        <v>769</v>
      </c>
      <c r="P281" s="1" t="s">
        <v>24</v>
      </c>
      <c r="Q281" s="1" t="s">
        <v>772</v>
      </c>
      <c r="R281" s="1" t="s">
        <v>43</v>
      </c>
      <c r="S281" s="1" t="s">
        <v>44</v>
      </c>
      <c r="W281" s="19"/>
      <c r="X281" s="18" t="str">
        <f t="shared" si="4"/>
        <v/>
      </c>
      <c r="Y281" s="19"/>
    </row>
    <row r="282" spans="1:25" ht="13.5" customHeight="1" x14ac:dyDescent="0.2">
      <c r="A282" s="1">
        <v>87625498752</v>
      </c>
      <c r="B282" s="1" t="s">
        <v>220</v>
      </c>
      <c r="C282" s="1" t="s">
        <v>20</v>
      </c>
      <c r="D282" s="1">
        <v>1234</v>
      </c>
      <c r="E282" s="17" t="s">
        <v>221</v>
      </c>
      <c r="F282" s="1">
        <v>59235704</v>
      </c>
      <c r="G282" s="2" t="s">
        <v>77</v>
      </c>
      <c r="H282" s="1" t="s">
        <v>30</v>
      </c>
      <c r="I282" s="1" t="s">
        <v>495</v>
      </c>
      <c r="J282" s="14">
        <v>40144</v>
      </c>
      <c r="K282" s="2" t="s">
        <v>27</v>
      </c>
      <c r="L282" s="1" t="s">
        <v>28</v>
      </c>
      <c r="M282" s="2" t="s">
        <v>80</v>
      </c>
      <c r="N282" s="2" t="s">
        <v>31</v>
      </c>
      <c r="O282" s="1" t="s">
        <v>770</v>
      </c>
      <c r="P282" s="1" t="s">
        <v>24</v>
      </c>
      <c r="Q282" s="1" t="s">
        <v>772</v>
      </c>
      <c r="R282" s="1" t="s">
        <v>43</v>
      </c>
      <c r="S282" s="1" t="s">
        <v>44</v>
      </c>
      <c r="W282" s="19"/>
      <c r="X282" s="18" t="str">
        <f t="shared" si="4"/>
        <v/>
      </c>
      <c r="Y282" s="19"/>
    </row>
    <row r="283" spans="1:25" ht="12.75" customHeight="1" x14ac:dyDescent="0.2">
      <c r="W283" s="19"/>
      <c r="X283" s="18" t="str">
        <f t="shared" si="4"/>
        <v/>
      </c>
      <c r="Y283" s="19"/>
    </row>
    <row r="284" spans="1:25" ht="12.75" customHeight="1" x14ac:dyDescent="0.2">
      <c r="W284" s="19"/>
      <c r="X284" s="18" t="str">
        <f t="shared" si="4"/>
        <v/>
      </c>
      <c r="Y284" s="19"/>
    </row>
    <row r="285" spans="1:25" ht="12.75" customHeight="1" x14ac:dyDescent="0.2">
      <c r="W285" s="19"/>
      <c r="X285" s="18" t="str">
        <f t="shared" si="4"/>
        <v/>
      </c>
      <c r="Y285" s="19"/>
    </row>
    <row r="286" spans="1:25" ht="12.75" customHeight="1" x14ac:dyDescent="0.2">
      <c r="W286" s="19"/>
      <c r="X286" s="18" t="str">
        <f t="shared" si="4"/>
        <v/>
      </c>
      <c r="Y286" s="19"/>
    </row>
    <row r="287" spans="1:25" ht="12.75" customHeight="1" x14ac:dyDescent="0.2">
      <c r="W287" s="19"/>
      <c r="X287" s="18" t="str">
        <f t="shared" si="4"/>
        <v/>
      </c>
      <c r="Y287" s="19"/>
    </row>
    <row r="288" spans="1:25" ht="12.75" customHeight="1" x14ac:dyDescent="0.2">
      <c r="W288" s="19"/>
      <c r="X288" s="18" t="str">
        <f t="shared" si="4"/>
        <v/>
      </c>
      <c r="Y288" s="19"/>
    </row>
    <row r="289" spans="23:25" ht="12.75" customHeight="1" x14ac:dyDescent="0.2">
      <c r="W289" s="19"/>
      <c r="X289" s="18" t="str">
        <f t="shared" si="4"/>
        <v/>
      </c>
      <c r="Y289" s="19"/>
    </row>
    <row r="290" spans="23:25" ht="12.75" customHeight="1" x14ac:dyDescent="0.2">
      <c r="W290" s="19"/>
      <c r="X290" s="18" t="str">
        <f t="shared" si="4"/>
        <v/>
      </c>
      <c r="Y290" s="19"/>
    </row>
    <row r="291" spans="23:25" ht="12.75" customHeight="1" x14ac:dyDescent="0.2">
      <c r="W291" s="19"/>
      <c r="X291" s="18" t="str">
        <f t="shared" si="4"/>
        <v/>
      </c>
      <c r="Y291" s="19"/>
    </row>
    <row r="292" spans="23:25" ht="12.75" customHeight="1" x14ac:dyDescent="0.2">
      <c r="W292" s="19"/>
      <c r="X292" s="18" t="str">
        <f t="shared" si="4"/>
        <v/>
      </c>
      <c r="Y292" s="19"/>
    </row>
    <row r="293" spans="23:25" ht="12.75" customHeight="1" x14ac:dyDescent="0.2">
      <c r="W293" s="19"/>
      <c r="X293" s="18" t="str">
        <f t="shared" si="4"/>
        <v/>
      </c>
      <c r="Y293" s="19"/>
    </row>
    <row r="294" spans="23:25" ht="12.75" customHeight="1" x14ac:dyDescent="0.2">
      <c r="W294" s="19"/>
      <c r="X294" s="18" t="str">
        <f t="shared" si="4"/>
        <v/>
      </c>
      <c r="Y294" s="19"/>
    </row>
    <row r="295" spans="23:25" ht="12.75" customHeight="1" x14ac:dyDescent="0.2">
      <c r="W295" s="19"/>
      <c r="X295" s="18" t="str">
        <f t="shared" si="4"/>
        <v/>
      </c>
      <c r="Y295" s="19"/>
    </row>
    <row r="296" spans="23:25" ht="12.75" customHeight="1" x14ac:dyDescent="0.2">
      <c r="W296" s="19"/>
      <c r="X296" s="18" t="str">
        <f t="shared" si="4"/>
        <v/>
      </c>
      <c r="Y296" s="19"/>
    </row>
    <row r="297" spans="23:25" ht="12.75" customHeight="1" x14ac:dyDescent="0.2">
      <c r="W297" s="19"/>
      <c r="X297" s="18" t="str">
        <f t="shared" si="4"/>
        <v/>
      </c>
      <c r="Y297" s="19"/>
    </row>
    <row r="298" spans="23:25" ht="12.75" customHeight="1" x14ac:dyDescent="0.2">
      <c r="W298" s="19"/>
      <c r="X298" s="18" t="str">
        <f t="shared" si="4"/>
        <v/>
      </c>
      <c r="Y298" s="19"/>
    </row>
    <row r="299" spans="23:25" ht="12.75" customHeight="1" x14ac:dyDescent="0.2">
      <c r="W299" s="19"/>
      <c r="X299" s="18" t="str">
        <f t="shared" si="4"/>
        <v/>
      </c>
      <c r="Y299" s="19"/>
    </row>
    <row r="300" spans="23:25" ht="12.75" customHeight="1" x14ac:dyDescent="0.2">
      <c r="W300" s="19"/>
      <c r="X300" s="18" t="str">
        <f t="shared" si="4"/>
        <v/>
      </c>
      <c r="Y300" s="19"/>
    </row>
    <row r="301" spans="23:25" ht="12.75" customHeight="1" x14ac:dyDescent="0.2">
      <c r="W301" s="19"/>
      <c r="X301" s="18" t="str">
        <f t="shared" si="4"/>
        <v/>
      </c>
      <c r="Y301" s="19"/>
    </row>
    <row r="302" spans="23:25" ht="12.75" customHeight="1" x14ac:dyDescent="0.2">
      <c r="W302" s="19"/>
      <c r="X302" s="18" t="str">
        <f t="shared" si="4"/>
        <v/>
      </c>
      <c r="Y302" s="19"/>
    </row>
    <row r="303" spans="23:25" ht="12.75" customHeight="1" x14ac:dyDescent="0.2">
      <c r="W303" s="19"/>
      <c r="X303" s="18" t="str">
        <f t="shared" si="4"/>
        <v/>
      </c>
      <c r="Y303" s="19"/>
    </row>
    <row r="304" spans="23:25" ht="12.75" customHeight="1" x14ac:dyDescent="0.2">
      <c r="W304" s="19"/>
      <c r="X304" s="18" t="str">
        <f t="shared" si="4"/>
        <v/>
      </c>
      <c r="Y304" s="19"/>
    </row>
    <row r="305" spans="23:25" ht="12.75" customHeight="1" x14ac:dyDescent="0.2">
      <c r="W305" s="19"/>
      <c r="X305" s="18" t="str">
        <f t="shared" si="4"/>
        <v/>
      </c>
      <c r="Y305" s="19"/>
    </row>
    <row r="306" spans="23:25" ht="12.75" customHeight="1" x14ac:dyDescent="0.2">
      <c r="W306" s="19"/>
      <c r="X306" s="18" t="str">
        <f t="shared" si="4"/>
        <v/>
      </c>
      <c r="Y306" s="19"/>
    </row>
    <row r="307" spans="23:25" ht="12.75" customHeight="1" x14ac:dyDescent="0.2">
      <c r="W307" s="19"/>
      <c r="X307" s="18" t="str">
        <f t="shared" si="4"/>
        <v/>
      </c>
      <c r="Y307" s="19"/>
    </row>
    <row r="308" spans="23:25" ht="12.75" customHeight="1" x14ac:dyDescent="0.2">
      <c r="W308" s="19"/>
      <c r="X308" s="18" t="str">
        <f t="shared" si="4"/>
        <v/>
      </c>
      <c r="Y308" s="19"/>
    </row>
    <row r="309" spans="23:25" ht="12.75" customHeight="1" x14ac:dyDescent="0.2">
      <c r="W309" s="19"/>
      <c r="X309" s="18" t="str">
        <f t="shared" si="4"/>
        <v/>
      </c>
      <c r="Y309" s="19"/>
    </row>
    <row r="310" spans="23:25" ht="12.75" customHeight="1" x14ac:dyDescent="0.2">
      <c r="W310" s="19"/>
      <c r="X310" s="18" t="str">
        <f t="shared" si="4"/>
        <v/>
      </c>
      <c r="Y310" s="19"/>
    </row>
    <row r="311" spans="23:25" ht="12.75" customHeight="1" x14ac:dyDescent="0.2">
      <c r="W311" s="19"/>
      <c r="X311" s="18" t="str">
        <f t="shared" si="4"/>
        <v/>
      </c>
      <c r="Y311" s="19"/>
    </row>
    <row r="312" spans="23:25" ht="12.75" customHeight="1" x14ac:dyDescent="0.2">
      <c r="W312" s="19"/>
      <c r="X312" s="18" t="str">
        <f t="shared" si="4"/>
        <v/>
      </c>
      <c r="Y312" s="19"/>
    </row>
    <row r="313" spans="23:25" ht="12.75" customHeight="1" x14ac:dyDescent="0.2">
      <c r="W313" s="19"/>
      <c r="X313" s="18" t="str">
        <f t="shared" si="4"/>
        <v/>
      </c>
      <c r="Y313" s="19"/>
    </row>
    <row r="314" spans="23:25" ht="12.75" customHeight="1" x14ac:dyDescent="0.2">
      <c r="W314" s="19"/>
      <c r="X314" s="18" t="str">
        <f t="shared" si="4"/>
        <v/>
      </c>
      <c r="Y314" s="19"/>
    </row>
    <row r="315" spans="23:25" ht="12.75" customHeight="1" x14ac:dyDescent="0.2">
      <c r="W315" s="19"/>
      <c r="X315" s="18" t="str">
        <f t="shared" si="4"/>
        <v/>
      </c>
      <c r="Y315" s="19"/>
    </row>
    <row r="316" spans="23:25" ht="12.75" customHeight="1" x14ac:dyDescent="0.2">
      <c r="W316" s="19"/>
      <c r="X316" s="18" t="str">
        <f t="shared" si="4"/>
        <v/>
      </c>
      <c r="Y316" s="19"/>
    </row>
    <row r="317" spans="23:25" ht="12.75" customHeight="1" x14ac:dyDescent="0.2">
      <c r="W317" s="19"/>
      <c r="X317" s="18" t="str">
        <f t="shared" si="4"/>
        <v/>
      </c>
      <c r="Y317" s="19"/>
    </row>
    <row r="318" spans="23:25" ht="12.75" customHeight="1" x14ac:dyDescent="0.2">
      <c r="W318" s="19"/>
      <c r="X318" s="18" t="str">
        <f t="shared" si="4"/>
        <v/>
      </c>
      <c r="Y318" s="19"/>
    </row>
    <row r="319" spans="23:25" ht="12.75" customHeight="1" x14ac:dyDescent="0.2">
      <c r="W319" s="19"/>
      <c r="X319" s="18" t="str">
        <f t="shared" si="4"/>
        <v/>
      </c>
      <c r="Y319" s="19"/>
    </row>
    <row r="320" spans="23:25" ht="12.75" customHeight="1" x14ac:dyDescent="0.2">
      <c r="W320" s="19"/>
      <c r="X320" s="18" t="str">
        <f t="shared" si="4"/>
        <v/>
      </c>
      <c r="Y320" s="19"/>
    </row>
    <row r="321" spans="23:25" ht="12.75" customHeight="1" x14ac:dyDescent="0.2">
      <c r="W321" s="19"/>
      <c r="X321" s="18" t="str">
        <f t="shared" si="4"/>
        <v/>
      </c>
      <c r="Y321" s="19"/>
    </row>
    <row r="322" spans="23:25" ht="12.75" customHeight="1" x14ac:dyDescent="0.2">
      <c r="W322" s="19"/>
      <c r="X322" s="18" t="str">
        <f t="shared" si="4"/>
        <v/>
      </c>
      <c r="Y322" s="19"/>
    </row>
    <row r="323" spans="23:25" ht="12.75" customHeight="1" x14ac:dyDescent="0.2">
      <c r="W323" s="19"/>
      <c r="X323" s="18" t="str">
        <f t="shared" si="4"/>
        <v/>
      </c>
      <c r="Y323" s="19"/>
    </row>
    <row r="324" spans="23:25" ht="12.75" customHeight="1" x14ac:dyDescent="0.2">
      <c r="W324" s="19"/>
      <c r="X324" s="18" t="str">
        <f t="shared" si="4"/>
        <v/>
      </c>
      <c r="Y324" s="19"/>
    </row>
    <row r="325" spans="23:25" ht="12.75" customHeight="1" x14ac:dyDescent="0.2">
      <c r="W325" s="19"/>
      <c r="X325" s="18" t="str">
        <f t="shared" si="4"/>
        <v/>
      </c>
      <c r="Y325" s="19"/>
    </row>
    <row r="326" spans="23:25" ht="12.75" customHeight="1" x14ac:dyDescent="0.2">
      <c r="W326" s="19"/>
      <c r="X326" s="18" t="str">
        <f t="shared" si="4"/>
        <v/>
      </c>
      <c r="Y326" s="19"/>
    </row>
    <row r="327" spans="23:25" ht="12.75" customHeight="1" x14ac:dyDescent="0.2">
      <c r="W327" s="19"/>
      <c r="X327" s="18" t="str">
        <f t="shared" si="4"/>
        <v/>
      </c>
      <c r="Y327" s="19"/>
    </row>
    <row r="328" spans="23:25" ht="12.75" customHeight="1" x14ac:dyDescent="0.2">
      <c r="W328" s="19"/>
      <c r="X328" s="18" t="str">
        <f t="shared" si="4"/>
        <v/>
      </c>
      <c r="Y328" s="19"/>
    </row>
    <row r="329" spans="23:25" ht="12.75" customHeight="1" x14ac:dyDescent="0.2">
      <c r="W329" s="19"/>
      <c r="X329" s="18" t="str">
        <f t="shared" si="4"/>
        <v/>
      </c>
      <c r="Y329" s="19"/>
    </row>
    <row r="330" spans="23:25" ht="12.75" customHeight="1" x14ac:dyDescent="0.2">
      <c r="W330" s="19"/>
      <c r="X330" s="18" t="str">
        <f t="shared" ref="X330:X393" si="5">IF(D330="0001","3rd Party","")</f>
        <v/>
      </c>
      <c r="Y330" s="19"/>
    </row>
    <row r="331" spans="23:25" ht="12.75" customHeight="1" x14ac:dyDescent="0.2">
      <c r="W331" s="19"/>
      <c r="X331" s="18" t="str">
        <f t="shared" si="5"/>
        <v/>
      </c>
      <c r="Y331" s="19"/>
    </row>
    <row r="332" spans="23:25" ht="12.75" customHeight="1" x14ac:dyDescent="0.2">
      <c r="W332" s="19"/>
      <c r="X332" s="18" t="str">
        <f t="shared" si="5"/>
        <v/>
      </c>
      <c r="Y332" s="19"/>
    </row>
    <row r="333" spans="23:25" ht="12.75" customHeight="1" x14ac:dyDescent="0.2">
      <c r="W333" s="19"/>
      <c r="X333" s="18" t="str">
        <f t="shared" si="5"/>
        <v/>
      </c>
      <c r="Y333" s="19"/>
    </row>
    <row r="334" spans="23:25" ht="12.75" customHeight="1" x14ac:dyDescent="0.2">
      <c r="W334" s="19"/>
      <c r="X334" s="18" t="str">
        <f t="shared" si="5"/>
        <v/>
      </c>
      <c r="Y334" s="19"/>
    </row>
    <row r="335" spans="23:25" ht="12.75" customHeight="1" x14ac:dyDescent="0.2">
      <c r="W335" s="19"/>
      <c r="X335" s="18" t="str">
        <f t="shared" si="5"/>
        <v/>
      </c>
      <c r="Y335" s="19"/>
    </row>
    <row r="336" spans="23:25" ht="12.75" customHeight="1" x14ac:dyDescent="0.2">
      <c r="W336" s="19"/>
      <c r="X336" s="18" t="str">
        <f t="shared" si="5"/>
        <v/>
      </c>
      <c r="Y336" s="19"/>
    </row>
    <row r="337" spans="23:25" ht="12.75" customHeight="1" x14ac:dyDescent="0.2">
      <c r="W337" s="19"/>
      <c r="X337" s="18" t="str">
        <f t="shared" si="5"/>
        <v/>
      </c>
      <c r="Y337" s="19"/>
    </row>
    <row r="338" spans="23:25" ht="12.75" customHeight="1" x14ac:dyDescent="0.2">
      <c r="W338" s="19"/>
      <c r="X338" s="18" t="str">
        <f t="shared" si="5"/>
        <v/>
      </c>
      <c r="Y338" s="19"/>
    </row>
    <row r="339" spans="23:25" ht="12.75" customHeight="1" x14ac:dyDescent="0.2">
      <c r="W339" s="19"/>
      <c r="X339" s="18" t="str">
        <f t="shared" si="5"/>
        <v/>
      </c>
      <c r="Y339" s="19"/>
    </row>
    <row r="340" spans="23:25" ht="12.75" customHeight="1" x14ac:dyDescent="0.2">
      <c r="W340" s="19"/>
      <c r="X340" s="18" t="str">
        <f t="shared" si="5"/>
        <v/>
      </c>
      <c r="Y340" s="19"/>
    </row>
    <row r="341" spans="23:25" ht="12.75" customHeight="1" x14ac:dyDescent="0.2">
      <c r="W341" s="19"/>
      <c r="X341" s="18" t="str">
        <f t="shared" si="5"/>
        <v/>
      </c>
      <c r="Y341" s="19"/>
    </row>
    <row r="342" spans="23:25" ht="12.75" customHeight="1" x14ac:dyDescent="0.2">
      <c r="W342" s="19"/>
      <c r="X342" s="18" t="str">
        <f t="shared" si="5"/>
        <v/>
      </c>
      <c r="Y342" s="19"/>
    </row>
    <row r="343" spans="23:25" ht="12.75" customHeight="1" x14ac:dyDescent="0.2">
      <c r="W343" s="19"/>
      <c r="X343" s="18" t="str">
        <f t="shared" si="5"/>
        <v/>
      </c>
      <c r="Y343" s="19"/>
    </row>
    <row r="344" spans="23:25" ht="12.75" customHeight="1" x14ac:dyDescent="0.2">
      <c r="W344" s="19"/>
      <c r="X344" s="18" t="str">
        <f t="shared" si="5"/>
        <v/>
      </c>
      <c r="Y344" s="19"/>
    </row>
    <row r="345" spans="23:25" ht="12.75" customHeight="1" x14ac:dyDescent="0.2">
      <c r="W345" s="19"/>
      <c r="X345" s="18" t="str">
        <f t="shared" si="5"/>
        <v/>
      </c>
      <c r="Y345" s="19"/>
    </row>
    <row r="346" spans="23:25" ht="12.75" customHeight="1" x14ac:dyDescent="0.2">
      <c r="W346" s="19"/>
      <c r="X346" s="18" t="str">
        <f t="shared" si="5"/>
        <v/>
      </c>
      <c r="Y346" s="19"/>
    </row>
    <row r="347" spans="23:25" ht="12.75" customHeight="1" x14ac:dyDescent="0.2">
      <c r="W347" s="19"/>
      <c r="X347" s="18" t="str">
        <f t="shared" si="5"/>
        <v/>
      </c>
      <c r="Y347" s="19"/>
    </row>
    <row r="348" spans="23:25" ht="12.75" customHeight="1" x14ac:dyDescent="0.2">
      <c r="W348" s="19"/>
      <c r="X348" s="18" t="str">
        <f t="shared" si="5"/>
        <v/>
      </c>
      <c r="Y348" s="19"/>
    </row>
    <row r="349" spans="23:25" ht="12.75" customHeight="1" x14ac:dyDescent="0.2">
      <c r="W349" s="19"/>
      <c r="X349" s="18" t="str">
        <f t="shared" si="5"/>
        <v/>
      </c>
      <c r="Y349" s="19"/>
    </row>
    <row r="350" spans="23:25" ht="12.75" customHeight="1" x14ac:dyDescent="0.2">
      <c r="W350" s="19"/>
      <c r="X350" s="18" t="str">
        <f t="shared" si="5"/>
        <v/>
      </c>
      <c r="Y350" s="19"/>
    </row>
    <row r="351" spans="23:25" ht="12.75" customHeight="1" x14ac:dyDescent="0.2">
      <c r="W351" s="19"/>
      <c r="X351" s="18" t="str">
        <f t="shared" si="5"/>
        <v/>
      </c>
      <c r="Y351" s="19"/>
    </row>
    <row r="352" spans="23:25" ht="12.75" customHeight="1" x14ac:dyDescent="0.2">
      <c r="W352" s="19"/>
      <c r="X352" s="18" t="str">
        <f t="shared" si="5"/>
        <v/>
      </c>
      <c r="Y352" s="19"/>
    </row>
    <row r="353" spans="23:25" ht="12.75" customHeight="1" x14ac:dyDescent="0.2">
      <c r="W353" s="19"/>
      <c r="X353" s="18" t="str">
        <f t="shared" si="5"/>
        <v/>
      </c>
      <c r="Y353" s="19"/>
    </row>
    <row r="354" spans="23:25" ht="12.75" customHeight="1" x14ac:dyDescent="0.2">
      <c r="W354" s="19"/>
      <c r="X354" s="18" t="str">
        <f t="shared" si="5"/>
        <v/>
      </c>
      <c r="Y354" s="19"/>
    </row>
    <row r="355" spans="23:25" ht="12.75" customHeight="1" x14ac:dyDescent="0.2">
      <c r="W355" s="19"/>
      <c r="X355" s="18" t="str">
        <f t="shared" si="5"/>
        <v/>
      </c>
      <c r="Y355" s="19"/>
    </row>
    <row r="356" spans="23:25" ht="12.75" customHeight="1" x14ac:dyDescent="0.2">
      <c r="W356" s="19"/>
      <c r="X356" s="18" t="str">
        <f t="shared" si="5"/>
        <v/>
      </c>
      <c r="Y356" s="19"/>
    </row>
    <row r="357" spans="23:25" ht="12.75" customHeight="1" x14ac:dyDescent="0.2">
      <c r="W357" s="19"/>
      <c r="X357" s="18" t="str">
        <f t="shared" si="5"/>
        <v/>
      </c>
      <c r="Y357" s="19"/>
    </row>
    <row r="358" spans="23:25" ht="12.75" customHeight="1" x14ac:dyDescent="0.2">
      <c r="W358" s="19"/>
      <c r="X358" s="18" t="str">
        <f t="shared" si="5"/>
        <v/>
      </c>
      <c r="Y358" s="19"/>
    </row>
    <row r="359" spans="23:25" ht="12.75" customHeight="1" x14ac:dyDescent="0.2">
      <c r="W359" s="19"/>
      <c r="X359" s="18" t="str">
        <f t="shared" si="5"/>
        <v/>
      </c>
      <c r="Y359" s="19"/>
    </row>
    <row r="360" spans="23:25" ht="12.75" customHeight="1" x14ac:dyDescent="0.2">
      <c r="W360" s="19"/>
      <c r="X360" s="18" t="str">
        <f t="shared" si="5"/>
        <v/>
      </c>
      <c r="Y360" s="19"/>
    </row>
    <row r="361" spans="23:25" ht="12.75" customHeight="1" x14ac:dyDescent="0.2">
      <c r="W361" s="19"/>
      <c r="X361" s="18" t="str">
        <f t="shared" si="5"/>
        <v/>
      </c>
      <c r="Y361" s="19"/>
    </row>
    <row r="362" spans="23:25" ht="12.75" customHeight="1" x14ac:dyDescent="0.2">
      <c r="W362" s="19"/>
      <c r="X362" s="18" t="str">
        <f t="shared" si="5"/>
        <v/>
      </c>
      <c r="Y362" s="19"/>
    </row>
    <row r="363" spans="23:25" ht="12.75" customHeight="1" x14ac:dyDescent="0.2">
      <c r="W363" s="19"/>
      <c r="X363" s="18" t="str">
        <f t="shared" si="5"/>
        <v/>
      </c>
      <c r="Y363" s="19"/>
    </row>
    <row r="364" spans="23:25" ht="12.75" customHeight="1" x14ac:dyDescent="0.2">
      <c r="W364" s="19"/>
      <c r="X364" s="18" t="str">
        <f t="shared" si="5"/>
        <v/>
      </c>
      <c r="Y364" s="19"/>
    </row>
    <row r="365" spans="23:25" ht="12.75" customHeight="1" x14ac:dyDescent="0.2">
      <c r="W365" s="19"/>
      <c r="X365" s="18" t="str">
        <f t="shared" si="5"/>
        <v/>
      </c>
      <c r="Y365" s="19"/>
    </row>
    <row r="366" spans="23:25" ht="12.75" customHeight="1" x14ac:dyDescent="0.2">
      <c r="W366" s="19"/>
      <c r="X366" s="18" t="str">
        <f t="shared" si="5"/>
        <v/>
      </c>
      <c r="Y366" s="19"/>
    </row>
    <row r="367" spans="23:25" ht="12.75" customHeight="1" x14ac:dyDescent="0.2">
      <c r="W367" s="19"/>
      <c r="X367" s="18" t="str">
        <f t="shared" si="5"/>
        <v/>
      </c>
      <c r="Y367" s="19"/>
    </row>
    <row r="368" spans="23:25" ht="12.75" customHeight="1" x14ac:dyDescent="0.2">
      <c r="W368" s="19"/>
      <c r="X368" s="18" t="str">
        <f t="shared" si="5"/>
        <v/>
      </c>
      <c r="Y368" s="19"/>
    </row>
    <row r="369" spans="23:25" ht="12.75" customHeight="1" x14ac:dyDescent="0.2">
      <c r="W369" s="19"/>
      <c r="X369" s="18" t="str">
        <f t="shared" si="5"/>
        <v/>
      </c>
      <c r="Y369" s="19"/>
    </row>
    <row r="370" spans="23:25" ht="12.75" customHeight="1" x14ac:dyDescent="0.2">
      <c r="W370" s="19"/>
      <c r="X370" s="18" t="str">
        <f t="shared" si="5"/>
        <v/>
      </c>
      <c r="Y370" s="19"/>
    </row>
    <row r="371" spans="23:25" ht="12.75" customHeight="1" x14ac:dyDescent="0.2">
      <c r="W371" s="19"/>
      <c r="X371" s="18" t="str">
        <f t="shared" si="5"/>
        <v/>
      </c>
      <c r="Y371" s="19"/>
    </row>
    <row r="372" spans="23:25" ht="12.75" customHeight="1" x14ac:dyDescent="0.2">
      <c r="W372" s="19"/>
      <c r="X372" s="18" t="str">
        <f t="shared" si="5"/>
        <v/>
      </c>
      <c r="Y372" s="19"/>
    </row>
    <row r="373" spans="23:25" ht="12.75" customHeight="1" x14ac:dyDescent="0.2">
      <c r="W373" s="19"/>
      <c r="X373" s="18" t="str">
        <f t="shared" si="5"/>
        <v/>
      </c>
      <c r="Y373" s="19"/>
    </row>
    <row r="374" spans="23:25" ht="12.75" customHeight="1" x14ac:dyDescent="0.2">
      <c r="W374" s="19"/>
      <c r="X374" s="18" t="str">
        <f t="shared" si="5"/>
        <v/>
      </c>
      <c r="Y374" s="19"/>
    </row>
    <row r="375" spans="23:25" ht="12.75" customHeight="1" x14ac:dyDescent="0.2">
      <c r="W375" s="19"/>
      <c r="X375" s="18" t="str">
        <f t="shared" si="5"/>
        <v/>
      </c>
      <c r="Y375" s="19"/>
    </row>
    <row r="376" spans="23:25" ht="12.75" customHeight="1" x14ac:dyDescent="0.2">
      <c r="W376" s="19"/>
      <c r="X376" s="18" t="str">
        <f t="shared" si="5"/>
        <v/>
      </c>
      <c r="Y376" s="19"/>
    </row>
    <row r="377" spans="23:25" ht="12.75" customHeight="1" x14ac:dyDescent="0.2">
      <c r="W377" s="19"/>
      <c r="X377" s="18" t="str">
        <f t="shared" si="5"/>
        <v/>
      </c>
      <c r="Y377" s="19"/>
    </row>
    <row r="378" spans="23:25" ht="12.75" customHeight="1" x14ac:dyDescent="0.2">
      <c r="W378" s="19"/>
      <c r="X378" s="18" t="str">
        <f t="shared" si="5"/>
        <v/>
      </c>
      <c r="Y378" s="19"/>
    </row>
    <row r="379" spans="23:25" ht="12.75" customHeight="1" x14ac:dyDescent="0.2">
      <c r="W379" s="19"/>
      <c r="X379" s="18" t="str">
        <f t="shared" si="5"/>
        <v/>
      </c>
      <c r="Y379" s="19"/>
    </row>
    <row r="380" spans="23:25" ht="12.75" customHeight="1" x14ac:dyDescent="0.2">
      <c r="W380" s="19"/>
      <c r="X380" s="18" t="str">
        <f t="shared" si="5"/>
        <v/>
      </c>
      <c r="Y380" s="19"/>
    </row>
    <row r="381" spans="23:25" ht="12.75" customHeight="1" x14ac:dyDescent="0.2">
      <c r="W381" s="19"/>
      <c r="X381" s="18" t="str">
        <f t="shared" si="5"/>
        <v/>
      </c>
      <c r="Y381" s="19"/>
    </row>
    <row r="382" spans="23:25" ht="12.75" customHeight="1" x14ac:dyDescent="0.2">
      <c r="W382" s="19"/>
      <c r="X382" s="18" t="str">
        <f t="shared" si="5"/>
        <v/>
      </c>
      <c r="Y382" s="19"/>
    </row>
    <row r="383" spans="23:25" ht="12.75" customHeight="1" x14ac:dyDescent="0.2">
      <c r="W383" s="19"/>
      <c r="X383" s="18" t="str">
        <f t="shared" si="5"/>
        <v/>
      </c>
      <c r="Y383" s="19"/>
    </row>
    <row r="384" spans="23:25" ht="12.75" customHeight="1" x14ac:dyDescent="0.2">
      <c r="W384" s="19"/>
      <c r="X384" s="18" t="str">
        <f t="shared" si="5"/>
        <v/>
      </c>
      <c r="Y384" s="19"/>
    </row>
    <row r="385" spans="23:25" ht="12.75" customHeight="1" x14ac:dyDescent="0.2">
      <c r="W385" s="19"/>
      <c r="X385" s="18" t="str">
        <f t="shared" si="5"/>
        <v/>
      </c>
      <c r="Y385" s="19"/>
    </row>
    <row r="386" spans="23:25" ht="12.75" customHeight="1" x14ac:dyDescent="0.2">
      <c r="W386" s="19"/>
      <c r="X386" s="18" t="str">
        <f t="shared" si="5"/>
        <v/>
      </c>
      <c r="Y386" s="19"/>
    </row>
    <row r="387" spans="23:25" ht="12.75" customHeight="1" x14ac:dyDescent="0.2">
      <c r="W387" s="19"/>
      <c r="X387" s="18" t="str">
        <f t="shared" si="5"/>
        <v/>
      </c>
      <c r="Y387" s="19"/>
    </row>
    <row r="388" spans="23:25" ht="12.75" customHeight="1" x14ac:dyDescent="0.2">
      <c r="W388" s="19"/>
      <c r="X388" s="18" t="str">
        <f t="shared" si="5"/>
        <v/>
      </c>
      <c r="Y388" s="19"/>
    </row>
    <row r="389" spans="23:25" ht="12.75" customHeight="1" x14ac:dyDescent="0.2">
      <c r="W389" s="19"/>
      <c r="X389" s="18" t="str">
        <f t="shared" si="5"/>
        <v/>
      </c>
      <c r="Y389" s="19"/>
    </row>
    <row r="390" spans="23:25" ht="12.75" customHeight="1" x14ac:dyDescent="0.2">
      <c r="W390" s="19"/>
      <c r="X390" s="18" t="str">
        <f t="shared" si="5"/>
        <v/>
      </c>
      <c r="Y390" s="19"/>
    </row>
    <row r="391" spans="23:25" ht="12.75" customHeight="1" x14ac:dyDescent="0.2">
      <c r="W391" s="19"/>
      <c r="X391" s="18" t="str">
        <f t="shared" si="5"/>
        <v/>
      </c>
      <c r="Y391" s="19"/>
    </row>
    <row r="392" spans="23:25" ht="12.75" customHeight="1" x14ac:dyDescent="0.2">
      <c r="W392" s="19"/>
      <c r="X392" s="18" t="str">
        <f t="shared" si="5"/>
        <v/>
      </c>
      <c r="Y392" s="19"/>
    </row>
    <row r="393" spans="23:25" ht="12.75" customHeight="1" x14ac:dyDescent="0.2">
      <c r="W393" s="19"/>
      <c r="X393" s="18" t="str">
        <f t="shared" si="5"/>
        <v/>
      </c>
      <c r="Y393" s="19"/>
    </row>
    <row r="394" spans="23:25" ht="12.75" customHeight="1" x14ac:dyDescent="0.2">
      <c r="W394" s="19"/>
      <c r="X394" s="18" t="str">
        <f t="shared" ref="X394:X457" si="6">IF(D394="0001","3rd Party","")</f>
        <v/>
      </c>
      <c r="Y394" s="19"/>
    </row>
    <row r="395" spans="23:25" ht="12.75" customHeight="1" x14ac:dyDescent="0.2">
      <c r="W395" s="19"/>
      <c r="X395" s="18" t="str">
        <f t="shared" si="6"/>
        <v/>
      </c>
      <c r="Y395" s="19"/>
    </row>
    <row r="396" spans="23:25" ht="12.75" customHeight="1" x14ac:dyDescent="0.2">
      <c r="W396" s="19"/>
      <c r="X396" s="18" t="str">
        <f t="shared" si="6"/>
        <v/>
      </c>
      <c r="Y396" s="19"/>
    </row>
    <row r="397" spans="23:25" ht="12.75" customHeight="1" x14ac:dyDescent="0.2">
      <c r="W397" s="19"/>
      <c r="X397" s="18" t="str">
        <f t="shared" si="6"/>
        <v/>
      </c>
      <c r="Y397" s="19"/>
    </row>
    <row r="398" spans="23:25" ht="12.75" customHeight="1" x14ac:dyDescent="0.2">
      <c r="W398" s="19"/>
      <c r="X398" s="18" t="str">
        <f t="shared" si="6"/>
        <v/>
      </c>
      <c r="Y398" s="19"/>
    </row>
    <row r="399" spans="23:25" ht="12.75" customHeight="1" x14ac:dyDescent="0.2">
      <c r="W399" s="19"/>
      <c r="X399" s="18" t="str">
        <f t="shared" si="6"/>
        <v/>
      </c>
      <c r="Y399" s="19"/>
    </row>
    <row r="400" spans="23:25" ht="12.75" customHeight="1" x14ac:dyDescent="0.2">
      <c r="W400" s="19"/>
      <c r="X400" s="18" t="str">
        <f t="shared" si="6"/>
        <v/>
      </c>
      <c r="Y400" s="19"/>
    </row>
    <row r="401" spans="23:25" ht="12.75" customHeight="1" x14ac:dyDescent="0.2">
      <c r="W401" s="19"/>
      <c r="X401" s="18" t="str">
        <f t="shared" si="6"/>
        <v/>
      </c>
      <c r="Y401" s="19"/>
    </row>
    <row r="402" spans="23:25" ht="12.75" customHeight="1" x14ac:dyDescent="0.2">
      <c r="W402" s="19"/>
      <c r="X402" s="18" t="str">
        <f t="shared" si="6"/>
        <v/>
      </c>
      <c r="Y402" s="19"/>
    </row>
    <row r="403" spans="23:25" ht="12.75" customHeight="1" x14ac:dyDescent="0.2">
      <c r="W403" s="19"/>
      <c r="X403" s="18" t="str">
        <f t="shared" si="6"/>
        <v/>
      </c>
      <c r="Y403" s="19"/>
    </row>
    <row r="404" spans="23:25" ht="12.75" customHeight="1" x14ac:dyDescent="0.2">
      <c r="W404" s="19"/>
      <c r="X404" s="18" t="str">
        <f t="shared" si="6"/>
        <v/>
      </c>
      <c r="Y404" s="19"/>
    </row>
    <row r="405" spans="23:25" ht="12.75" customHeight="1" x14ac:dyDescent="0.2">
      <c r="W405" s="19"/>
      <c r="X405" s="18" t="str">
        <f t="shared" si="6"/>
        <v/>
      </c>
      <c r="Y405" s="19"/>
    </row>
    <row r="406" spans="23:25" ht="12.75" customHeight="1" x14ac:dyDescent="0.2">
      <c r="W406" s="19"/>
      <c r="X406" s="18" t="str">
        <f t="shared" si="6"/>
        <v/>
      </c>
      <c r="Y406" s="19"/>
    </row>
    <row r="407" spans="23:25" ht="12.75" customHeight="1" x14ac:dyDescent="0.2">
      <c r="W407" s="19"/>
      <c r="X407" s="18" t="str">
        <f t="shared" si="6"/>
        <v/>
      </c>
      <c r="Y407" s="19"/>
    </row>
    <row r="408" spans="23:25" ht="12.75" customHeight="1" x14ac:dyDescent="0.2">
      <c r="W408" s="19"/>
      <c r="X408" s="18" t="str">
        <f t="shared" si="6"/>
        <v/>
      </c>
      <c r="Y408" s="19"/>
    </row>
    <row r="409" spans="23:25" ht="12.75" customHeight="1" x14ac:dyDescent="0.2">
      <c r="W409" s="19"/>
      <c r="X409" s="18" t="str">
        <f t="shared" si="6"/>
        <v/>
      </c>
      <c r="Y409" s="19"/>
    </row>
    <row r="410" spans="23:25" ht="12.75" customHeight="1" x14ac:dyDescent="0.2">
      <c r="W410" s="19"/>
      <c r="X410" s="18" t="str">
        <f t="shared" si="6"/>
        <v/>
      </c>
      <c r="Y410" s="19"/>
    </row>
    <row r="411" spans="23:25" ht="12.75" customHeight="1" x14ac:dyDescent="0.2">
      <c r="W411" s="19"/>
      <c r="X411" s="18" t="str">
        <f t="shared" si="6"/>
        <v/>
      </c>
      <c r="Y411" s="19"/>
    </row>
    <row r="412" spans="23:25" ht="12.75" customHeight="1" x14ac:dyDescent="0.2">
      <c r="W412" s="19"/>
      <c r="X412" s="18" t="str">
        <f t="shared" si="6"/>
        <v/>
      </c>
      <c r="Y412" s="19"/>
    </row>
    <row r="413" spans="23:25" ht="12.75" customHeight="1" x14ac:dyDescent="0.2">
      <c r="W413" s="19"/>
      <c r="X413" s="18" t="str">
        <f t="shared" si="6"/>
        <v/>
      </c>
      <c r="Y413" s="19"/>
    </row>
    <row r="414" spans="23:25" ht="12.75" customHeight="1" x14ac:dyDescent="0.2">
      <c r="W414" s="19"/>
      <c r="X414" s="18" t="str">
        <f t="shared" si="6"/>
        <v/>
      </c>
      <c r="Y414" s="19"/>
    </row>
    <row r="415" spans="23:25" ht="12.75" customHeight="1" x14ac:dyDescent="0.2">
      <c r="W415" s="19"/>
      <c r="X415" s="18" t="str">
        <f t="shared" si="6"/>
        <v/>
      </c>
      <c r="Y415" s="19"/>
    </row>
    <row r="416" spans="23:25" ht="12.75" customHeight="1" x14ac:dyDescent="0.2">
      <c r="W416" s="19"/>
      <c r="X416" s="18" t="str">
        <f t="shared" si="6"/>
        <v/>
      </c>
      <c r="Y416" s="19"/>
    </row>
    <row r="417" spans="23:25" ht="12.75" customHeight="1" x14ac:dyDescent="0.2">
      <c r="W417" s="19"/>
      <c r="X417" s="18" t="str">
        <f t="shared" si="6"/>
        <v/>
      </c>
      <c r="Y417" s="19"/>
    </row>
    <row r="418" spans="23:25" ht="12.75" customHeight="1" x14ac:dyDescent="0.2">
      <c r="W418" s="19"/>
      <c r="X418" s="18" t="str">
        <f t="shared" si="6"/>
        <v/>
      </c>
      <c r="Y418" s="19"/>
    </row>
    <row r="419" spans="23:25" ht="12.75" customHeight="1" x14ac:dyDescent="0.2">
      <c r="W419" s="19"/>
      <c r="X419" s="18" t="str">
        <f t="shared" si="6"/>
        <v/>
      </c>
      <c r="Y419" s="19"/>
    </row>
    <row r="420" spans="23:25" ht="12.75" customHeight="1" x14ac:dyDescent="0.2">
      <c r="W420" s="19"/>
      <c r="X420" s="18" t="str">
        <f t="shared" si="6"/>
        <v/>
      </c>
      <c r="Y420" s="19"/>
    </row>
    <row r="421" spans="23:25" ht="12.75" customHeight="1" x14ac:dyDescent="0.2">
      <c r="W421" s="19"/>
      <c r="X421" s="18" t="str">
        <f t="shared" si="6"/>
        <v/>
      </c>
      <c r="Y421" s="19"/>
    </row>
    <row r="422" spans="23:25" ht="12.75" customHeight="1" x14ac:dyDescent="0.2">
      <c r="W422" s="19"/>
      <c r="X422" s="18" t="str">
        <f t="shared" si="6"/>
        <v/>
      </c>
      <c r="Y422" s="19"/>
    </row>
    <row r="423" spans="23:25" ht="12.75" customHeight="1" x14ac:dyDescent="0.2">
      <c r="W423" s="19"/>
      <c r="X423" s="18" t="str">
        <f t="shared" si="6"/>
        <v/>
      </c>
      <c r="Y423" s="19"/>
    </row>
    <row r="424" spans="23:25" ht="12.75" customHeight="1" x14ac:dyDescent="0.2">
      <c r="W424" s="19"/>
      <c r="X424" s="18" t="str">
        <f t="shared" si="6"/>
        <v/>
      </c>
      <c r="Y424" s="19"/>
    </row>
    <row r="425" spans="23:25" ht="12.75" customHeight="1" x14ac:dyDescent="0.2">
      <c r="W425" s="19"/>
      <c r="X425" s="18" t="str">
        <f t="shared" si="6"/>
        <v/>
      </c>
      <c r="Y425" s="19"/>
    </row>
    <row r="426" spans="23:25" ht="12.75" customHeight="1" x14ac:dyDescent="0.2">
      <c r="W426" s="19"/>
      <c r="X426" s="18" t="str">
        <f t="shared" si="6"/>
        <v/>
      </c>
      <c r="Y426" s="19"/>
    </row>
    <row r="427" spans="23:25" ht="12.75" customHeight="1" x14ac:dyDescent="0.2">
      <c r="W427" s="19"/>
      <c r="X427" s="18" t="str">
        <f t="shared" si="6"/>
        <v/>
      </c>
      <c r="Y427" s="19"/>
    </row>
    <row r="428" spans="23:25" ht="12.75" customHeight="1" x14ac:dyDescent="0.2">
      <c r="W428" s="19"/>
      <c r="X428" s="18" t="str">
        <f t="shared" si="6"/>
        <v/>
      </c>
      <c r="Y428" s="19"/>
    </row>
    <row r="429" spans="23:25" ht="12.75" customHeight="1" x14ac:dyDescent="0.2">
      <c r="W429" s="19"/>
      <c r="X429" s="18" t="str">
        <f t="shared" si="6"/>
        <v/>
      </c>
      <c r="Y429" s="19"/>
    </row>
    <row r="430" spans="23:25" ht="12.75" customHeight="1" x14ac:dyDescent="0.2">
      <c r="W430" s="19"/>
      <c r="X430" s="18" t="str">
        <f t="shared" si="6"/>
        <v/>
      </c>
      <c r="Y430" s="19"/>
    </row>
    <row r="431" spans="23:25" ht="12.75" customHeight="1" x14ac:dyDescent="0.2">
      <c r="W431" s="19"/>
      <c r="X431" s="18" t="str">
        <f t="shared" si="6"/>
        <v/>
      </c>
      <c r="Y431" s="19"/>
    </row>
    <row r="432" spans="23:25" ht="12.75" customHeight="1" x14ac:dyDescent="0.2">
      <c r="W432" s="19"/>
      <c r="X432" s="18" t="str">
        <f t="shared" si="6"/>
        <v/>
      </c>
      <c r="Y432" s="19"/>
    </row>
    <row r="433" spans="23:25" ht="12.75" customHeight="1" x14ac:dyDescent="0.2">
      <c r="W433" s="19"/>
      <c r="X433" s="18" t="str">
        <f t="shared" si="6"/>
        <v/>
      </c>
      <c r="Y433" s="19"/>
    </row>
    <row r="434" spans="23:25" ht="12.75" customHeight="1" x14ac:dyDescent="0.2">
      <c r="W434" s="19"/>
      <c r="X434" s="18" t="str">
        <f t="shared" si="6"/>
        <v/>
      </c>
      <c r="Y434" s="19"/>
    </row>
    <row r="435" spans="23:25" ht="12.75" customHeight="1" x14ac:dyDescent="0.2">
      <c r="W435" s="19"/>
      <c r="X435" s="18" t="str">
        <f t="shared" si="6"/>
        <v/>
      </c>
      <c r="Y435" s="19"/>
    </row>
    <row r="436" spans="23:25" ht="12.75" customHeight="1" x14ac:dyDescent="0.2">
      <c r="W436" s="19"/>
      <c r="X436" s="18" t="str">
        <f t="shared" si="6"/>
        <v/>
      </c>
      <c r="Y436" s="19"/>
    </row>
    <row r="437" spans="23:25" ht="12.75" customHeight="1" x14ac:dyDescent="0.2">
      <c r="W437" s="19"/>
      <c r="X437" s="18" t="str">
        <f t="shared" si="6"/>
        <v/>
      </c>
      <c r="Y437" s="19"/>
    </row>
    <row r="438" spans="23:25" ht="12.75" customHeight="1" x14ac:dyDescent="0.2">
      <c r="W438" s="19"/>
      <c r="X438" s="18" t="str">
        <f t="shared" si="6"/>
        <v/>
      </c>
      <c r="Y438" s="19"/>
    </row>
    <row r="439" spans="23:25" ht="12.75" customHeight="1" x14ac:dyDescent="0.2">
      <c r="W439" s="19"/>
      <c r="X439" s="18" t="str">
        <f t="shared" si="6"/>
        <v/>
      </c>
      <c r="Y439" s="19"/>
    </row>
    <row r="440" spans="23:25" ht="12.75" customHeight="1" x14ac:dyDescent="0.2">
      <c r="W440" s="19"/>
      <c r="X440" s="18" t="str">
        <f t="shared" si="6"/>
        <v/>
      </c>
      <c r="Y440" s="19"/>
    </row>
    <row r="441" spans="23:25" ht="12.75" customHeight="1" x14ac:dyDescent="0.2">
      <c r="W441" s="19"/>
      <c r="X441" s="18" t="str">
        <f t="shared" si="6"/>
        <v/>
      </c>
      <c r="Y441" s="19"/>
    </row>
    <row r="442" spans="23:25" ht="12.75" customHeight="1" x14ac:dyDescent="0.2">
      <c r="W442" s="19"/>
      <c r="X442" s="18" t="str">
        <f t="shared" si="6"/>
        <v/>
      </c>
      <c r="Y442" s="19"/>
    </row>
    <row r="443" spans="23:25" ht="12.75" customHeight="1" x14ac:dyDescent="0.2">
      <c r="W443" s="19"/>
      <c r="X443" s="18" t="str">
        <f t="shared" si="6"/>
        <v/>
      </c>
      <c r="Y443" s="19"/>
    </row>
    <row r="444" spans="23:25" ht="12.75" customHeight="1" x14ac:dyDescent="0.2">
      <c r="W444" s="19"/>
      <c r="X444" s="18" t="str">
        <f t="shared" si="6"/>
        <v/>
      </c>
      <c r="Y444" s="19"/>
    </row>
    <row r="445" spans="23:25" ht="12.75" customHeight="1" x14ac:dyDescent="0.2">
      <c r="W445" s="19"/>
      <c r="X445" s="18" t="str">
        <f t="shared" si="6"/>
        <v/>
      </c>
      <c r="Y445" s="19"/>
    </row>
    <row r="446" spans="23:25" ht="12.75" customHeight="1" x14ac:dyDescent="0.2">
      <c r="W446" s="19"/>
      <c r="X446" s="18" t="str">
        <f t="shared" si="6"/>
        <v/>
      </c>
      <c r="Y446" s="19"/>
    </row>
    <row r="447" spans="23:25" ht="12.75" customHeight="1" x14ac:dyDescent="0.2">
      <c r="W447" s="19"/>
      <c r="X447" s="18" t="str">
        <f t="shared" si="6"/>
        <v/>
      </c>
      <c r="Y447" s="19"/>
    </row>
    <row r="448" spans="23:25" ht="12.75" customHeight="1" x14ac:dyDescent="0.2">
      <c r="W448" s="19"/>
      <c r="X448" s="18" t="str">
        <f t="shared" si="6"/>
        <v/>
      </c>
      <c r="Y448" s="19"/>
    </row>
    <row r="449" spans="23:25" ht="12.75" customHeight="1" x14ac:dyDescent="0.2">
      <c r="W449" s="19"/>
      <c r="X449" s="18" t="str">
        <f t="shared" si="6"/>
        <v/>
      </c>
      <c r="Y449" s="19"/>
    </row>
    <row r="450" spans="23:25" ht="12.75" customHeight="1" x14ac:dyDescent="0.2">
      <c r="W450" s="19"/>
      <c r="X450" s="18" t="str">
        <f t="shared" si="6"/>
        <v/>
      </c>
      <c r="Y450" s="19"/>
    </row>
    <row r="451" spans="23:25" ht="12.75" customHeight="1" x14ac:dyDescent="0.2">
      <c r="W451" s="19"/>
      <c r="X451" s="18" t="str">
        <f t="shared" si="6"/>
        <v/>
      </c>
      <c r="Y451" s="19"/>
    </row>
    <row r="452" spans="23:25" ht="12.75" customHeight="1" x14ac:dyDescent="0.2">
      <c r="W452" s="19"/>
      <c r="X452" s="18" t="str">
        <f t="shared" si="6"/>
        <v/>
      </c>
      <c r="Y452" s="19"/>
    </row>
    <row r="453" spans="23:25" ht="12.75" customHeight="1" x14ac:dyDescent="0.2">
      <c r="W453" s="19"/>
      <c r="X453" s="18" t="str">
        <f t="shared" si="6"/>
        <v/>
      </c>
      <c r="Y453" s="19"/>
    </row>
    <row r="454" spans="23:25" ht="12.75" customHeight="1" x14ac:dyDescent="0.2">
      <c r="W454" s="19"/>
      <c r="X454" s="18" t="str">
        <f t="shared" si="6"/>
        <v/>
      </c>
      <c r="Y454" s="19"/>
    </row>
    <row r="455" spans="23:25" ht="12.75" customHeight="1" x14ac:dyDescent="0.2">
      <c r="W455" s="19"/>
      <c r="X455" s="18" t="str">
        <f t="shared" si="6"/>
        <v/>
      </c>
      <c r="Y455" s="19"/>
    </row>
    <row r="456" spans="23:25" ht="12.75" customHeight="1" x14ac:dyDescent="0.2">
      <c r="W456" s="19"/>
      <c r="X456" s="18" t="str">
        <f t="shared" si="6"/>
        <v/>
      </c>
      <c r="Y456" s="19"/>
    </row>
    <row r="457" spans="23:25" ht="12.75" customHeight="1" x14ac:dyDescent="0.2">
      <c r="W457" s="19"/>
      <c r="X457" s="18" t="str">
        <f t="shared" si="6"/>
        <v/>
      </c>
      <c r="Y457" s="19"/>
    </row>
    <row r="458" spans="23:25" ht="12.75" customHeight="1" x14ac:dyDescent="0.2">
      <c r="W458" s="19"/>
      <c r="X458" s="18" t="str">
        <f t="shared" ref="X458:X521" si="7">IF(D458="0001","3rd Party","")</f>
        <v/>
      </c>
      <c r="Y458" s="19"/>
    </row>
    <row r="459" spans="23:25" ht="12.75" customHeight="1" x14ac:dyDescent="0.2">
      <c r="W459" s="19"/>
      <c r="X459" s="18" t="str">
        <f t="shared" si="7"/>
        <v/>
      </c>
      <c r="Y459" s="19"/>
    </row>
    <row r="460" spans="23:25" ht="12.75" customHeight="1" x14ac:dyDescent="0.2">
      <c r="W460" s="19"/>
      <c r="X460" s="18" t="str">
        <f t="shared" si="7"/>
        <v/>
      </c>
      <c r="Y460" s="19"/>
    </row>
    <row r="461" spans="23:25" ht="12.75" customHeight="1" x14ac:dyDescent="0.2">
      <c r="W461" s="19"/>
      <c r="X461" s="18" t="str">
        <f t="shared" si="7"/>
        <v/>
      </c>
      <c r="Y461" s="19"/>
    </row>
    <row r="462" spans="23:25" ht="12.75" customHeight="1" x14ac:dyDescent="0.2">
      <c r="W462" s="19"/>
      <c r="X462" s="18" t="str">
        <f t="shared" si="7"/>
        <v/>
      </c>
      <c r="Y462" s="19"/>
    </row>
    <row r="463" spans="23:25" ht="12.75" customHeight="1" x14ac:dyDescent="0.2">
      <c r="W463" s="19"/>
      <c r="X463" s="18" t="str">
        <f t="shared" si="7"/>
        <v/>
      </c>
      <c r="Y463" s="19"/>
    </row>
    <row r="464" spans="23:25" ht="12.75" customHeight="1" x14ac:dyDescent="0.2">
      <c r="W464" s="19"/>
      <c r="X464" s="18" t="str">
        <f t="shared" si="7"/>
        <v/>
      </c>
      <c r="Y464" s="19"/>
    </row>
    <row r="465" spans="23:25" ht="12.75" customHeight="1" x14ac:dyDescent="0.2">
      <c r="W465" s="19"/>
      <c r="X465" s="18" t="str">
        <f t="shared" si="7"/>
        <v/>
      </c>
      <c r="Y465" s="19"/>
    </row>
    <row r="466" spans="23:25" ht="12.75" customHeight="1" x14ac:dyDescent="0.2">
      <c r="W466" s="19"/>
      <c r="X466" s="18" t="str">
        <f t="shared" si="7"/>
        <v/>
      </c>
      <c r="Y466" s="19"/>
    </row>
    <row r="467" spans="23:25" ht="12.75" customHeight="1" x14ac:dyDescent="0.2">
      <c r="W467" s="19"/>
      <c r="X467" s="18" t="str">
        <f t="shared" si="7"/>
        <v/>
      </c>
      <c r="Y467" s="19"/>
    </row>
    <row r="468" spans="23:25" ht="12.75" customHeight="1" x14ac:dyDescent="0.2">
      <c r="W468" s="19"/>
      <c r="X468" s="18" t="str">
        <f t="shared" si="7"/>
        <v/>
      </c>
      <c r="Y468" s="19"/>
    </row>
    <row r="469" spans="23:25" ht="12.75" customHeight="1" x14ac:dyDescent="0.2">
      <c r="W469" s="19"/>
      <c r="X469" s="18" t="str">
        <f t="shared" si="7"/>
        <v/>
      </c>
      <c r="Y469" s="19"/>
    </row>
    <row r="470" spans="23:25" ht="12.75" customHeight="1" x14ac:dyDescent="0.2">
      <c r="W470" s="19"/>
      <c r="X470" s="18" t="str">
        <f t="shared" si="7"/>
        <v/>
      </c>
      <c r="Y470" s="19"/>
    </row>
    <row r="471" spans="23:25" ht="12.75" customHeight="1" x14ac:dyDescent="0.2">
      <c r="W471" s="19"/>
      <c r="X471" s="18" t="str">
        <f t="shared" si="7"/>
        <v/>
      </c>
      <c r="Y471" s="19"/>
    </row>
    <row r="472" spans="23:25" ht="12.75" customHeight="1" x14ac:dyDescent="0.2">
      <c r="W472" s="19"/>
      <c r="X472" s="18" t="str">
        <f t="shared" si="7"/>
        <v/>
      </c>
      <c r="Y472" s="19"/>
    </row>
    <row r="473" spans="23:25" ht="12.75" customHeight="1" x14ac:dyDescent="0.2">
      <c r="W473" s="19"/>
      <c r="X473" s="18" t="str">
        <f t="shared" si="7"/>
        <v/>
      </c>
      <c r="Y473" s="19"/>
    </row>
    <row r="474" spans="23:25" ht="12.75" customHeight="1" x14ac:dyDescent="0.2">
      <c r="W474" s="19"/>
      <c r="X474" s="18" t="str">
        <f t="shared" si="7"/>
        <v/>
      </c>
      <c r="Y474" s="19"/>
    </row>
    <row r="475" spans="23:25" ht="12.75" customHeight="1" x14ac:dyDescent="0.2">
      <c r="W475" s="19"/>
      <c r="X475" s="18" t="str">
        <f t="shared" si="7"/>
        <v/>
      </c>
      <c r="Y475" s="19"/>
    </row>
    <row r="476" spans="23:25" ht="12.75" customHeight="1" x14ac:dyDescent="0.2">
      <c r="W476" s="19"/>
      <c r="X476" s="18" t="str">
        <f t="shared" si="7"/>
        <v/>
      </c>
      <c r="Y476" s="19"/>
    </row>
    <row r="477" spans="23:25" ht="12.75" customHeight="1" x14ac:dyDescent="0.2">
      <c r="W477" s="19"/>
      <c r="X477" s="18" t="str">
        <f t="shared" si="7"/>
        <v/>
      </c>
      <c r="Y477" s="19"/>
    </row>
    <row r="478" spans="23:25" ht="12.75" customHeight="1" x14ac:dyDescent="0.2">
      <c r="W478" s="19"/>
      <c r="X478" s="18" t="str">
        <f t="shared" si="7"/>
        <v/>
      </c>
      <c r="Y478" s="19"/>
    </row>
    <row r="479" spans="23:25" ht="12.75" customHeight="1" x14ac:dyDescent="0.2">
      <c r="W479" s="19"/>
      <c r="X479" s="18" t="str">
        <f t="shared" si="7"/>
        <v/>
      </c>
      <c r="Y479" s="19"/>
    </row>
    <row r="480" spans="23:25" ht="12.75" customHeight="1" x14ac:dyDescent="0.2">
      <c r="W480" s="19"/>
      <c r="X480" s="18" t="str">
        <f t="shared" si="7"/>
        <v/>
      </c>
      <c r="Y480" s="19"/>
    </row>
    <row r="481" spans="23:25" ht="12.75" customHeight="1" x14ac:dyDescent="0.2">
      <c r="W481" s="19"/>
      <c r="X481" s="18" t="str">
        <f t="shared" si="7"/>
        <v/>
      </c>
      <c r="Y481" s="19"/>
    </row>
    <row r="482" spans="23:25" ht="12.75" customHeight="1" x14ac:dyDescent="0.2">
      <c r="W482" s="19"/>
      <c r="X482" s="18" t="str">
        <f t="shared" si="7"/>
        <v/>
      </c>
      <c r="Y482" s="19"/>
    </row>
    <row r="483" spans="23:25" ht="12.75" customHeight="1" x14ac:dyDescent="0.2">
      <c r="W483" s="19"/>
      <c r="X483" s="18" t="str">
        <f t="shared" si="7"/>
        <v/>
      </c>
      <c r="Y483" s="19"/>
    </row>
    <row r="484" spans="23:25" ht="12.75" customHeight="1" x14ac:dyDescent="0.2">
      <c r="W484" s="19"/>
      <c r="X484" s="18" t="str">
        <f t="shared" si="7"/>
        <v/>
      </c>
      <c r="Y484" s="19"/>
    </row>
    <row r="485" spans="23:25" ht="12.75" customHeight="1" x14ac:dyDescent="0.2">
      <c r="W485" s="19"/>
      <c r="X485" s="18" t="str">
        <f t="shared" si="7"/>
        <v/>
      </c>
      <c r="Y485" s="19"/>
    </row>
    <row r="486" spans="23:25" ht="12.75" customHeight="1" x14ac:dyDescent="0.2">
      <c r="W486" s="19"/>
      <c r="X486" s="18" t="str">
        <f t="shared" si="7"/>
        <v/>
      </c>
      <c r="Y486" s="19"/>
    </row>
    <row r="487" spans="23:25" ht="12.75" customHeight="1" x14ac:dyDescent="0.2">
      <c r="W487" s="19"/>
      <c r="X487" s="18" t="str">
        <f t="shared" si="7"/>
        <v/>
      </c>
      <c r="Y487" s="19"/>
    </row>
    <row r="488" spans="23:25" ht="12.75" customHeight="1" x14ac:dyDescent="0.2">
      <c r="W488" s="19"/>
      <c r="X488" s="18" t="str">
        <f t="shared" si="7"/>
        <v/>
      </c>
      <c r="Y488" s="19"/>
    </row>
    <row r="489" spans="23:25" ht="12.75" customHeight="1" x14ac:dyDescent="0.2">
      <c r="W489" s="19"/>
      <c r="X489" s="18" t="str">
        <f t="shared" si="7"/>
        <v/>
      </c>
      <c r="Y489" s="19"/>
    </row>
    <row r="490" spans="23:25" ht="12.75" customHeight="1" x14ac:dyDescent="0.2">
      <c r="W490" s="19"/>
      <c r="X490" s="18" t="str">
        <f t="shared" si="7"/>
        <v/>
      </c>
      <c r="Y490" s="19"/>
    </row>
    <row r="491" spans="23:25" ht="12.75" customHeight="1" x14ac:dyDescent="0.2">
      <c r="W491" s="19"/>
      <c r="X491" s="18" t="str">
        <f t="shared" si="7"/>
        <v/>
      </c>
      <c r="Y491" s="19"/>
    </row>
    <row r="492" spans="23:25" ht="12.75" customHeight="1" x14ac:dyDescent="0.2">
      <c r="W492" s="19"/>
      <c r="X492" s="18" t="str">
        <f t="shared" si="7"/>
        <v/>
      </c>
      <c r="Y492" s="19"/>
    </row>
    <row r="493" spans="23:25" ht="12.75" customHeight="1" x14ac:dyDescent="0.2">
      <c r="W493" s="19"/>
      <c r="X493" s="18" t="str">
        <f t="shared" si="7"/>
        <v/>
      </c>
      <c r="Y493" s="19"/>
    </row>
    <row r="494" spans="23:25" ht="12.75" customHeight="1" x14ac:dyDescent="0.2">
      <c r="W494" s="19"/>
      <c r="X494" s="18" t="str">
        <f t="shared" si="7"/>
        <v/>
      </c>
      <c r="Y494" s="19"/>
    </row>
    <row r="495" spans="23:25" ht="12.75" customHeight="1" x14ac:dyDescent="0.2">
      <c r="W495" s="19"/>
      <c r="X495" s="18" t="str">
        <f t="shared" si="7"/>
        <v/>
      </c>
      <c r="Y495" s="19"/>
    </row>
    <row r="496" spans="23:25" ht="12.75" customHeight="1" x14ac:dyDescent="0.2">
      <c r="W496" s="19"/>
      <c r="X496" s="18" t="str">
        <f t="shared" si="7"/>
        <v/>
      </c>
      <c r="Y496" s="19"/>
    </row>
    <row r="497" spans="23:25" ht="12.75" customHeight="1" x14ac:dyDescent="0.2">
      <c r="W497" s="19"/>
      <c r="X497" s="18" t="str">
        <f t="shared" si="7"/>
        <v/>
      </c>
      <c r="Y497" s="19"/>
    </row>
    <row r="498" spans="23:25" ht="12.75" customHeight="1" x14ac:dyDescent="0.2">
      <c r="W498" s="19"/>
      <c r="X498" s="18" t="str">
        <f t="shared" si="7"/>
        <v/>
      </c>
      <c r="Y498" s="19"/>
    </row>
    <row r="499" spans="23:25" ht="12.75" customHeight="1" x14ac:dyDescent="0.2">
      <c r="W499" s="19"/>
      <c r="X499" s="18" t="str">
        <f t="shared" si="7"/>
        <v/>
      </c>
      <c r="Y499" s="19"/>
    </row>
    <row r="500" spans="23:25" ht="12.75" customHeight="1" x14ac:dyDescent="0.2">
      <c r="W500" s="19"/>
      <c r="X500" s="18" t="str">
        <f t="shared" si="7"/>
        <v/>
      </c>
      <c r="Y500" s="19"/>
    </row>
    <row r="501" spans="23:25" ht="12.75" customHeight="1" x14ac:dyDescent="0.2">
      <c r="W501" s="19"/>
      <c r="X501" s="18" t="str">
        <f t="shared" si="7"/>
        <v/>
      </c>
      <c r="Y501" s="19"/>
    </row>
    <row r="502" spans="23:25" ht="12.75" customHeight="1" x14ac:dyDescent="0.2">
      <c r="W502" s="19"/>
      <c r="X502" s="18" t="str">
        <f t="shared" si="7"/>
        <v/>
      </c>
      <c r="Y502" s="19"/>
    </row>
    <row r="503" spans="23:25" ht="12.75" customHeight="1" x14ac:dyDescent="0.2">
      <c r="W503" s="19"/>
      <c r="X503" s="18" t="str">
        <f t="shared" si="7"/>
        <v/>
      </c>
      <c r="Y503" s="19"/>
    </row>
    <row r="504" spans="23:25" ht="12.75" customHeight="1" x14ac:dyDescent="0.2">
      <c r="W504" s="19"/>
      <c r="X504" s="18" t="str">
        <f t="shared" si="7"/>
        <v/>
      </c>
      <c r="Y504" s="19"/>
    </row>
    <row r="505" spans="23:25" ht="12.75" customHeight="1" x14ac:dyDescent="0.2">
      <c r="W505" s="19"/>
      <c r="X505" s="18" t="str">
        <f t="shared" si="7"/>
        <v/>
      </c>
      <c r="Y505" s="19"/>
    </row>
    <row r="506" spans="23:25" ht="12.75" customHeight="1" x14ac:dyDescent="0.2">
      <c r="W506" s="19"/>
      <c r="X506" s="18" t="str">
        <f t="shared" si="7"/>
        <v/>
      </c>
      <c r="Y506" s="19"/>
    </row>
    <row r="507" spans="23:25" ht="12.75" customHeight="1" x14ac:dyDescent="0.2">
      <c r="W507" s="19"/>
      <c r="X507" s="18" t="str">
        <f t="shared" si="7"/>
        <v/>
      </c>
      <c r="Y507" s="19"/>
    </row>
    <row r="508" spans="23:25" ht="12.75" customHeight="1" x14ac:dyDescent="0.2">
      <c r="W508" s="19"/>
      <c r="X508" s="18" t="str">
        <f t="shared" si="7"/>
        <v/>
      </c>
      <c r="Y508" s="19"/>
    </row>
    <row r="509" spans="23:25" ht="12.75" customHeight="1" x14ac:dyDescent="0.2">
      <c r="W509" s="19"/>
      <c r="X509" s="18" t="str">
        <f t="shared" si="7"/>
        <v/>
      </c>
      <c r="Y509" s="19"/>
    </row>
    <row r="510" spans="23:25" ht="12.75" customHeight="1" x14ac:dyDescent="0.2">
      <c r="W510" s="19"/>
      <c r="X510" s="18" t="str">
        <f t="shared" si="7"/>
        <v/>
      </c>
      <c r="Y510" s="19"/>
    </row>
    <row r="511" spans="23:25" ht="12.75" customHeight="1" x14ac:dyDescent="0.2">
      <c r="W511" s="19"/>
      <c r="X511" s="18" t="str">
        <f t="shared" si="7"/>
        <v/>
      </c>
      <c r="Y511" s="19"/>
    </row>
    <row r="512" spans="23:25" ht="12.75" customHeight="1" x14ac:dyDescent="0.2">
      <c r="W512" s="19"/>
      <c r="X512" s="18" t="str">
        <f t="shared" si="7"/>
        <v/>
      </c>
      <c r="Y512" s="19"/>
    </row>
    <row r="513" spans="23:25" ht="12.75" customHeight="1" x14ac:dyDescent="0.2">
      <c r="W513" s="19"/>
      <c r="X513" s="18" t="str">
        <f t="shared" si="7"/>
        <v/>
      </c>
      <c r="Y513" s="19"/>
    </row>
    <row r="514" spans="23:25" ht="12.75" customHeight="1" x14ac:dyDescent="0.2">
      <c r="W514" s="19"/>
      <c r="X514" s="18" t="str">
        <f t="shared" si="7"/>
        <v/>
      </c>
      <c r="Y514" s="19"/>
    </row>
    <row r="515" spans="23:25" ht="12.75" customHeight="1" x14ac:dyDescent="0.2">
      <c r="W515" s="19"/>
      <c r="X515" s="18" t="str">
        <f t="shared" si="7"/>
        <v/>
      </c>
      <c r="Y515" s="19"/>
    </row>
    <row r="516" spans="23:25" ht="12.75" customHeight="1" x14ac:dyDescent="0.2">
      <c r="W516" s="19"/>
      <c r="X516" s="18" t="str">
        <f t="shared" si="7"/>
        <v/>
      </c>
      <c r="Y516" s="19"/>
    </row>
    <row r="517" spans="23:25" ht="12.75" customHeight="1" x14ac:dyDescent="0.2">
      <c r="W517" s="19"/>
      <c r="X517" s="18" t="str">
        <f t="shared" si="7"/>
        <v/>
      </c>
      <c r="Y517" s="19"/>
    </row>
    <row r="518" spans="23:25" ht="12.75" customHeight="1" x14ac:dyDescent="0.2">
      <c r="W518" s="19"/>
      <c r="X518" s="18" t="str">
        <f t="shared" si="7"/>
        <v/>
      </c>
      <c r="Y518" s="19"/>
    </row>
    <row r="519" spans="23:25" ht="12.75" customHeight="1" x14ac:dyDescent="0.2">
      <c r="W519" s="19"/>
      <c r="X519" s="18" t="str">
        <f t="shared" si="7"/>
        <v/>
      </c>
      <c r="Y519" s="19"/>
    </row>
    <row r="520" spans="23:25" ht="12.75" customHeight="1" x14ac:dyDescent="0.2">
      <c r="W520" s="19"/>
      <c r="X520" s="18" t="str">
        <f t="shared" si="7"/>
        <v/>
      </c>
      <c r="Y520" s="19"/>
    </row>
    <row r="521" spans="23:25" ht="12.75" customHeight="1" x14ac:dyDescent="0.2">
      <c r="W521" s="19"/>
      <c r="X521" s="18" t="str">
        <f t="shared" si="7"/>
        <v/>
      </c>
      <c r="Y521" s="19"/>
    </row>
    <row r="522" spans="23:25" ht="12.75" customHeight="1" x14ac:dyDescent="0.2">
      <c r="W522" s="19"/>
      <c r="X522" s="18" t="str">
        <f t="shared" ref="X522:X585" si="8">IF(D522="0001","3rd Party","")</f>
        <v/>
      </c>
      <c r="Y522" s="19"/>
    </row>
    <row r="523" spans="23:25" ht="12.75" customHeight="1" x14ac:dyDescent="0.2">
      <c r="W523" s="19"/>
      <c r="X523" s="18" t="str">
        <f t="shared" si="8"/>
        <v/>
      </c>
      <c r="Y523" s="19"/>
    </row>
    <row r="524" spans="23:25" ht="12.75" customHeight="1" x14ac:dyDescent="0.2">
      <c r="W524" s="19"/>
      <c r="X524" s="18" t="str">
        <f t="shared" si="8"/>
        <v/>
      </c>
      <c r="Y524" s="19"/>
    </row>
    <row r="525" spans="23:25" ht="12.75" customHeight="1" x14ac:dyDescent="0.2">
      <c r="W525" s="19"/>
      <c r="X525" s="18" t="str">
        <f t="shared" si="8"/>
        <v/>
      </c>
      <c r="Y525" s="19"/>
    </row>
    <row r="526" spans="23:25" ht="12.75" customHeight="1" x14ac:dyDescent="0.2">
      <c r="W526" s="19"/>
      <c r="X526" s="18" t="str">
        <f t="shared" si="8"/>
        <v/>
      </c>
      <c r="Y526" s="19"/>
    </row>
    <row r="527" spans="23:25" ht="12.75" customHeight="1" x14ac:dyDescent="0.2">
      <c r="W527" s="19"/>
      <c r="X527" s="18" t="str">
        <f t="shared" si="8"/>
        <v/>
      </c>
      <c r="Y527" s="19"/>
    </row>
    <row r="528" spans="23:25" ht="12.75" customHeight="1" x14ac:dyDescent="0.2">
      <c r="W528" s="19"/>
      <c r="X528" s="18" t="str">
        <f t="shared" si="8"/>
        <v/>
      </c>
      <c r="Y528" s="19"/>
    </row>
    <row r="529" spans="23:25" ht="12.75" customHeight="1" x14ac:dyDescent="0.2">
      <c r="W529" s="19"/>
      <c r="X529" s="18" t="str">
        <f t="shared" si="8"/>
        <v/>
      </c>
      <c r="Y529" s="19"/>
    </row>
    <row r="530" spans="23:25" ht="12.75" customHeight="1" x14ac:dyDescent="0.2">
      <c r="W530" s="19"/>
      <c r="X530" s="18" t="str">
        <f t="shared" si="8"/>
        <v/>
      </c>
      <c r="Y530" s="19"/>
    </row>
    <row r="531" spans="23:25" ht="12.75" customHeight="1" x14ac:dyDescent="0.2">
      <c r="W531" s="19"/>
      <c r="X531" s="18" t="str">
        <f t="shared" si="8"/>
        <v/>
      </c>
      <c r="Y531" s="19"/>
    </row>
    <row r="532" spans="23:25" ht="12.75" customHeight="1" x14ac:dyDescent="0.2">
      <c r="W532" s="19"/>
      <c r="X532" s="18" t="str">
        <f t="shared" si="8"/>
        <v/>
      </c>
      <c r="Y532" s="19"/>
    </row>
    <row r="533" spans="23:25" ht="12.75" customHeight="1" x14ac:dyDescent="0.2">
      <c r="W533" s="19"/>
      <c r="X533" s="18" t="str">
        <f t="shared" si="8"/>
        <v/>
      </c>
      <c r="Y533" s="19"/>
    </row>
    <row r="534" spans="23:25" ht="12.75" customHeight="1" x14ac:dyDescent="0.2">
      <c r="W534" s="19"/>
      <c r="X534" s="18" t="str">
        <f t="shared" si="8"/>
        <v/>
      </c>
      <c r="Y534" s="19"/>
    </row>
    <row r="535" spans="23:25" ht="12.75" customHeight="1" x14ac:dyDescent="0.2">
      <c r="W535" s="19"/>
      <c r="X535" s="18" t="str">
        <f t="shared" si="8"/>
        <v/>
      </c>
      <c r="Y535" s="19"/>
    </row>
    <row r="536" spans="23:25" ht="12.75" customHeight="1" x14ac:dyDescent="0.2">
      <c r="W536" s="19"/>
      <c r="X536" s="18" t="str">
        <f t="shared" si="8"/>
        <v/>
      </c>
      <c r="Y536" s="19"/>
    </row>
    <row r="537" spans="23:25" ht="12.75" customHeight="1" x14ac:dyDescent="0.2">
      <c r="W537" s="19"/>
      <c r="X537" s="18" t="str">
        <f t="shared" si="8"/>
        <v/>
      </c>
      <c r="Y537" s="19"/>
    </row>
    <row r="538" spans="23:25" ht="12.75" customHeight="1" x14ac:dyDescent="0.2">
      <c r="W538" s="19"/>
      <c r="X538" s="18" t="str">
        <f t="shared" si="8"/>
        <v/>
      </c>
      <c r="Y538" s="19"/>
    </row>
    <row r="539" spans="23:25" ht="12.75" customHeight="1" x14ac:dyDescent="0.2">
      <c r="W539" s="19"/>
      <c r="X539" s="18" t="str">
        <f t="shared" si="8"/>
        <v/>
      </c>
      <c r="Y539" s="19"/>
    </row>
    <row r="540" spans="23:25" ht="12.75" customHeight="1" x14ac:dyDescent="0.2">
      <c r="W540" s="19"/>
      <c r="X540" s="18" t="str">
        <f t="shared" si="8"/>
        <v/>
      </c>
      <c r="Y540" s="19"/>
    </row>
    <row r="541" spans="23:25" ht="12.75" customHeight="1" x14ac:dyDescent="0.2">
      <c r="W541" s="19"/>
      <c r="X541" s="18" t="str">
        <f t="shared" si="8"/>
        <v/>
      </c>
      <c r="Y541" s="19"/>
    </row>
    <row r="542" spans="23:25" ht="12.75" customHeight="1" x14ac:dyDescent="0.2">
      <c r="W542" s="19"/>
      <c r="X542" s="18" t="str">
        <f t="shared" si="8"/>
        <v/>
      </c>
      <c r="Y542" s="19"/>
    </row>
    <row r="543" spans="23:25" ht="12.75" customHeight="1" x14ac:dyDescent="0.2">
      <c r="W543" s="19"/>
      <c r="X543" s="18" t="str">
        <f t="shared" si="8"/>
        <v/>
      </c>
      <c r="Y543" s="19"/>
    </row>
    <row r="544" spans="23:25" ht="12.75" customHeight="1" x14ac:dyDescent="0.2">
      <c r="W544" s="19"/>
      <c r="X544" s="18" t="str">
        <f t="shared" si="8"/>
        <v/>
      </c>
      <c r="Y544" s="19"/>
    </row>
    <row r="545" spans="23:25" ht="12.75" customHeight="1" x14ac:dyDescent="0.2">
      <c r="W545" s="19"/>
      <c r="X545" s="18" t="str">
        <f t="shared" si="8"/>
        <v/>
      </c>
      <c r="Y545" s="19"/>
    </row>
    <row r="546" spans="23:25" ht="12.75" customHeight="1" x14ac:dyDescent="0.2">
      <c r="W546" s="19"/>
      <c r="X546" s="18" t="str">
        <f t="shared" si="8"/>
        <v/>
      </c>
      <c r="Y546" s="19"/>
    </row>
    <row r="547" spans="23:25" ht="12.75" customHeight="1" x14ac:dyDescent="0.2">
      <c r="W547" s="19"/>
      <c r="X547" s="18" t="str">
        <f t="shared" si="8"/>
        <v/>
      </c>
      <c r="Y547" s="19"/>
    </row>
    <row r="548" spans="23:25" ht="12.75" customHeight="1" x14ac:dyDescent="0.2">
      <c r="W548" s="19"/>
      <c r="X548" s="18" t="str">
        <f t="shared" si="8"/>
        <v/>
      </c>
      <c r="Y548" s="19"/>
    </row>
    <row r="549" spans="23:25" ht="12.75" customHeight="1" x14ac:dyDescent="0.2">
      <c r="W549" s="19"/>
      <c r="X549" s="18" t="str">
        <f t="shared" si="8"/>
        <v/>
      </c>
      <c r="Y549" s="19"/>
    </row>
    <row r="550" spans="23:25" ht="12.75" customHeight="1" x14ac:dyDescent="0.2">
      <c r="W550" s="19"/>
      <c r="X550" s="18" t="str">
        <f t="shared" si="8"/>
        <v/>
      </c>
      <c r="Y550" s="19"/>
    </row>
    <row r="551" spans="23:25" ht="12.75" customHeight="1" x14ac:dyDescent="0.2">
      <c r="W551" s="19"/>
      <c r="X551" s="18" t="str">
        <f t="shared" si="8"/>
        <v/>
      </c>
      <c r="Y551" s="19"/>
    </row>
    <row r="552" spans="23:25" ht="12.75" customHeight="1" x14ac:dyDescent="0.2">
      <c r="W552" s="19"/>
      <c r="X552" s="18" t="str">
        <f t="shared" si="8"/>
        <v/>
      </c>
      <c r="Y552" s="19"/>
    </row>
    <row r="553" spans="23:25" ht="12.75" customHeight="1" x14ac:dyDescent="0.2">
      <c r="W553" s="19"/>
      <c r="X553" s="18" t="str">
        <f t="shared" si="8"/>
        <v/>
      </c>
      <c r="Y553" s="19"/>
    </row>
    <row r="554" spans="23:25" ht="12.75" customHeight="1" x14ac:dyDescent="0.2">
      <c r="W554" s="19"/>
      <c r="X554" s="18" t="str">
        <f t="shared" si="8"/>
        <v/>
      </c>
      <c r="Y554" s="19"/>
    </row>
    <row r="555" spans="23:25" ht="12.75" customHeight="1" x14ac:dyDescent="0.2">
      <c r="W555" s="19"/>
      <c r="X555" s="18" t="str">
        <f t="shared" si="8"/>
        <v/>
      </c>
      <c r="Y555" s="19"/>
    </row>
    <row r="556" spans="23:25" ht="12.75" customHeight="1" x14ac:dyDescent="0.2">
      <c r="W556" s="19"/>
      <c r="X556" s="18" t="str">
        <f t="shared" si="8"/>
        <v/>
      </c>
      <c r="Y556" s="19"/>
    </row>
    <row r="557" spans="23:25" ht="12.75" customHeight="1" x14ac:dyDescent="0.2">
      <c r="W557" s="19"/>
      <c r="X557" s="18" t="str">
        <f t="shared" si="8"/>
        <v/>
      </c>
      <c r="Y557" s="19"/>
    </row>
    <row r="558" spans="23:25" ht="12.75" customHeight="1" x14ac:dyDescent="0.2">
      <c r="W558" s="19"/>
      <c r="X558" s="18" t="str">
        <f t="shared" si="8"/>
        <v/>
      </c>
      <c r="Y558" s="19"/>
    </row>
    <row r="559" spans="23:25" ht="12.75" customHeight="1" x14ac:dyDescent="0.2">
      <c r="W559" s="19"/>
      <c r="X559" s="18" t="str">
        <f t="shared" si="8"/>
        <v/>
      </c>
      <c r="Y559" s="19"/>
    </row>
    <row r="560" spans="23:25" ht="12.75" customHeight="1" x14ac:dyDescent="0.2">
      <c r="W560" s="19"/>
      <c r="X560" s="18" t="str">
        <f t="shared" si="8"/>
        <v/>
      </c>
      <c r="Y560" s="19"/>
    </row>
    <row r="561" spans="23:25" ht="12.75" customHeight="1" x14ac:dyDescent="0.2">
      <c r="W561" s="19"/>
      <c r="X561" s="18" t="str">
        <f t="shared" si="8"/>
        <v/>
      </c>
      <c r="Y561" s="19"/>
    </row>
    <row r="562" spans="23:25" ht="12.75" customHeight="1" x14ac:dyDescent="0.2">
      <c r="W562" s="19"/>
      <c r="X562" s="18" t="str">
        <f t="shared" si="8"/>
        <v/>
      </c>
      <c r="Y562" s="19"/>
    </row>
    <row r="563" spans="23:25" ht="12.75" customHeight="1" x14ac:dyDescent="0.2">
      <c r="W563" s="19"/>
      <c r="X563" s="18" t="str">
        <f t="shared" si="8"/>
        <v/>
      </c>
      <c r="Y563" s="19"/>
    </row>
    <row r="564" spans="23:25" ht="12.75" customHeight="1" x14ac:dyDescent="0.2">
      <c r="W564" s="19"/>
      <c r="X564" s="18" t="str">
        <f t="shared" si="8"/>
        <v/>
      </c>
      <c r="Y564" s="19"/>
    </row>
    <row r="565" spans="23:25" ht="12.75" customHeight="1" x14ac:dyDescent="0.2">
      <c r="W565" s="19"/>
      <c r="X565" s="18" t="str">
        <f t="shared" si="8"/>
        <v/>
      </c>
      <c r="Y565" s="19"/>
    </row>
    <row r="566" spans="23:25" ht="12.75" customHeight="1" x14ac:dyDescent="0.2">
      <c r="W566" s="19"/>
      <c r="X566" s="18" t="str">
        <f t="shared" si="8"/>
        <v/>
      </c>
      <c r="Y566" s="19"/>
    </row>
    <row r="567" spans="23:25" ht="12.75" customHeight="1" x14ac:dyDescent="0.2">
      <c r="W567" s="19"/>
      <c r="X567" s="18" t="str">
        <f t="shared" si="8"/>
        <v/>
      </c>
      <c r="Y567" s="19"/>
    </row>
    <row r="568" spans="23:25" ht="12.75" customHeight="1" x14ac:dyDescent="0.2">
      <c r="W568" s="19"/>
      <c r="X568" s="18" t="str">
        <f t="shared" si="8"/>
        <v/>
      </c>
      <c r="Y568" s="19"/>
    </row>
    <row r="569" spans="23:25" ht="12.75" customHeight="1" x14ac:dyDescent="0.2">
      <c r="W569" s="19"/>
      <c r="X569" s="18" t="str">
        <f t="shared" si="8"/>
        <v/>
      </c>
      <c r="Y569" s="19"/>
    </row>
    <row r="570" spans="23:25" ht="12.75" customHeight="1" x14ac:dyDescent="0.2">
      <c r="W570" s="19"/>
      <c r="X570" s="18" t="str">
        <f t="shared" si="8"/>
        <v/>
      </c>
      <c r="Y570" s="19"/>
    </row>
    <row r="571" spans="23:25" ht="12.75" customHeight="1" x14ac:dyDescent="0.2">
      <c r="W571" s="19"/>
      <c r="X571" s="18" t="str">
        <f t="shared" si="8"/>
        <v/>
      </c>
      <c r="Y571" s="19"/>
    </row>
    <row r="572" spans="23:25" ht="12.75" customHeight="1" x14ac:dyDescent="0.2">
      <c r="W572" s="19"/>
      <c r="X572" s="18" t="str">
        <f t="shared" si="8"/>
        <v/>
      </c>
      <c r="Y572" s="19"/>
    </row>
    <row r="573" spans="23:25" ht="12.75" customHeight="1" x14ac:dyDescent="0.2">
      <c r="W573" s="19"/>
      <c r="X573" s="18" t="str">
        <f t="shared" si="8"/>
        <v/>
      </c>
      <c r="Y573" s="19"/>
    </row>
    <row r="574" spans="23:25" ht="12.75" customHeight="1" x14ac:dyDescent="0.2">
      <c r="W574" s="19"/>
      <c r="X574" s="18" t="str">
        <f t="shared" si="8"/>
        <v/>
      </c>
      <c r="Y574" s="19"/>
    </row>
    <row r="575" spans="23:25" ht="12.75" customHeight="1" x14ac:dyDescent="0.2">
      <c r="W575" s="19"/>
      <c r="X575" s="18" t="str">
        <f t="shared" si="8"/>
        <v/>
      </c>
      <c r="Y575" s="19"/>
    </row>
    <row r="576" spans="23:25" ht="12.75" customHeight="1" x14ac:dyDescent="0.2">
      <c r="W576" s="19"/>
      <c r="X576" s="18" t="str">
        <f t="shared" si="8"/>
        <v/>
      </c>
      <c r="Y576" s="19"/>
    </row>
    <row r="577" spans="23:25" ht="12.75" customHeight="1" x14ac:dyDescent="0.2">
      <c r="W577" s="19"/>
      <c r="X577" s="18" t="str">
        <f t="shared" si="8"/>
        <v/>
      </c>
      <c r="Y577" s="19"/>
    </row>
    <row r="578" spans="23:25" ht="12.75" customHeight="1" x14ac:dyDescent="0.2">
      <c r="W578" s="19"/>
      <c r="X578" s="18" t="str">
        <f t="shared" si="8"/>
        <v/>
      </c>
      <c r="Y578" s="19"/>
    </row>
    <row r="579" spans="23:25" ht="12.75" customHeight="1" x14ac:dyDescent="0.2">
      <c r="W579" s="19"/>
      <c r="X579" s="18" t="str">
        <f t="shared" si="8"/>
        <v/>
      </c>
      <c r="Y579" s="19"/>
    </row>
    <row r="580" spans="23:25" ht="12.75" customHeight="1" x14ac:dyDescent="0.2">
      <c r="W580" s="19"/>
      <c r="X580" s="18" t="str">
        <f t="shared" si="8"/>
        <v/>
      </c>
      <c r="Y580" s="19"/>
    </row>
    <row r="581" spans="23:25" ht="12.75" customHeight="1" x14ac:dyDescent="0.2">
      <c r="W581" s="19"/>
      <c r="X581" s="18" t="str">
        <f t="shared" si="8"/>
        <v/>
      </c>
      <c r="Y581" s="19"/>
    </row>
    <row r="582" spans="23:25" ht="12.75" customHeight="1" x14ac:dyDescent="0.2">
      <c r="W582" s="19"/>
      <c r="X582" s="18" t="str">
        <f t="shared" si="8"/>
        <v/>
      </c>
      <c r="Y582" s="19"/>
    </row>
    <row r="583" spans="23:25" ht="12.75" customHeight="1" x14ac:dyDescent="0.2">
      <c r="W583" s="19"/>
      <c r="X583" s="18" t="str">
        <f t="shared" si="8"/>
        <v/>
      </c>
      <c r="Y583" s="19"/>
    </row>
    <row r="584" spans="23:25" ht="12.75" customHeight="1" x14ac:dyDescent="0.2">
      <c r="W584" s="19"/>
      <c r="X584" s="18" t="str">
        <f t="shared" si="8"/>
        <v/>
      </c>
      <c r="Y584" s="19"/>
    </row>
    <row r="585" spans="23:25" ht="12.75" customHeight="1" x14ac:dyDescent="0.2">
      <c r="W585" s="19"/>
      <c r="X585" s="18" t="str">
        <f t="shared" si="8"/>
        <v/>
      </c>
      <c r="Y585" s="19"/>
    </row>
    <row r="586" spans="23:25" ht="12.75" customHeight="1" x14ac:dyDescent="0.2">
      <c r="W586" s="19"/>
      <c r="X586" s="18" t="str">
        <f t="shared" ref="X586:X649" si="9">IF(D586="0001","3rd Party","")</f>
        <v/>
      </c>
      <c r="Y586" s="19"/>
    </row>
    <row r="587" spans="23:25" ht="12.75" customHeight="1" x14ac:dyDescent="0.2">
      <c r="W587" s="19"/>
      <c r="X587" s="18" t="str">
        <f t="shared" si="9"/>
        <v/>
      </c>
      <c r="Y587" s="19"/>
    </row>
    <row r="588" spans="23:25" ht="12.75" customHeight="1" x14ac:dyDescent="0.2">
      <c r="W588" s="19"/>
      <c r="X588" s="18" t="str">
        <f t="shared" si="9"/>
        <v/>
      </c>
      <c r="Y588" s="19"/>
    </row>
    <row r="589" spans="23:25" ht="12.75" customHeight="1" x14ac:dyDescent="0.2">
      <c r="W589" s="19"/>
      <c r="X589" s="18" t="str">
        <f t="shared" si="9"/>
        <v/>
      </c>
      <c r="Y589" s="19"/>
    </row>
    <row r="590" spans="23:25" ht="12.75" customHeight="1" x14ac:dyDescent="0.2">
      <c r="W590" s="19"/>
      <c r="X590" s="18" t="str">
        <f t="shared" si="9"/>
        <v/>
      </c>
      <c r="Y590" s="19"/>
    </row>
    <row r="591" spans="23:25" ht="12.75" customHeight="1" x14ac:dyDescent="0.2">
      <c r="W591" s="19"/>
      <c r="X591" s="18" t="str">
        <f t="shared" si="9"/>
        <v/>
      </c>
      <c r="Y591" s="19"/>
    </row>
    <row r="592" spans="23:25" ht="12.75" customHeight="1" x14ac:dyDescent="0.2">
      <c r="W592" s="19"/>
      <c r="X592" s="18" t="str">
        <f t="shared" si="9"/>
        <v/>
      </c>
      <c r="Y592" s="19"/>
    </row>
    <row r="593" spans="23:25" ht="12.75" customHeight="1" x14ac:dyDescent="0.2">
      <c r="W593" s="19"/>
      <c r="X593" s="18" t="str">
        <f t="shared" si="9"/>
        <v/>
      </c>
      <c r="Y593" s="19"/>
    </row>
    <row r="594" spans="23:25" ht="12.75" customHeight="1" x14ac:dyDescent="0.2">
      <c r="W594" s="19"/>
      <c r="X594" s="18" t="str">
        <f t="shared" si="9"/>
        <v/>
      </c>
      <c r="Y594" s="19"/>
    </row>
    <row r="595" spans="23:25" ht="12.75" customHeight="1" x14ac:dyDescent="0.2">
      <c r="W595" s="19"/>
      <c r="X595" s="18" t="str">
        <f t="shared" si="9"/>
        <v/>
      </c>
      <c r="Y595" s="19"/>
    </row>
    <row r="596" spans="23:25" ht="12.75" customHeight="1" x14ac:dyDescent="0.2">
      <c r="W596" s="19"/>
      <c r="X596" s="18" t="str">
        <f t="shared" si="9"/>
        <v/>
      </c>
      <c r="Y596" s="19"/>
    </row>
    <row r="597" spans="23:25" ht="12.75" customHeight="1" x14ac:dyDescent="0.2">
      <c r="W597" s="19"/>
      <c r="X597" s="18" t="str">
        <f t="shared" si="9"/>
        <v/>
      </c>
      <c r="Y597" s="19"/>
    </row>
    <row r="598" spans="23:25" ht="12.75" customHeight="1" x14ac:dyDescent="0.2">
      <c r="W598" s="19"/>
      <c r="X598" s="18" t="str">
        <f t="shared" si="9"/>
        <v/>
      </c>
      <c r="Y598" s="19"/>
    </row>
    <row r="599" spans="23:25" ht="12.75" customHeight="1" x14ac:dyDescent="0.2">
      <c r="W599" s="19"/>
      <c r="X599" s="18" t="str">
        <f t="shared" si="9"/>
        <v/>
      </c>
      <c r="Y599" s="19"/>
    </row>
    <row r="600" spans="23:25" ht="12.75" customHeight="1" x14ac:dyDescent="0.2">
      <c r="W600" s="19"/>
      <c r="X600" s="18" t="str">
        <f t="shared" si="9"/>
        <v/>
      </c>
      <c r="Y600" s="19"/>
    </row>
    <row r="601" spans="23:25" ht="12.75" customHeight="1" x14ac:dyDescent="0.2">
      <c r="W601" s="19"/>
      <c r="X601" s="18" t="str">
        <f t="shared" si="9"/>
        <v/>
      </c>
      <c r="Y601" s="19"/>
    </row>
    <row r="602" spans="23:25" ht="12.75" customHeight="1" x14ac:dyDescent="0.2">
      <c r="W602" s="19"/>
      <c r="X602" s="18" t="str">
        <f t="shared" si="9"/>
        <v/>
      </c>
      <c r="Y602" s="19"/>
    </row>
    <row r="603" spans="23:25" ht="12.75" customHeight="1" x14ac:dyDescent="0.2">
      <c r="W603" s="19"/>
      <c r="X603" s="18" t="str">
        <f t="shared" si="9"/>
        <v/>
      </c>
      <c r="Y603" s="19"/>
    </row>
    <row r="604" spans="23:25" ht="12.75" customHeight="1" x14ac:dyDescent="0.2">
      <c r="W604" s="19"/>
      <c r="X604" s="18" t="str">
        <f t="shared" si="9"/>
        <v/>
      </c>
      <c r="Y604" s="19"/>
    </row>
    <row r="605" spans="23:25" ht="12.75" customHeight="1" x14ac:dyDescent="0.2">
      <c r="W605" s="19"/>
      <c r="X605" s="18" t="str">
        <f t="shared" si="9"/>
        <v/>
      </c>
      <c r="Y605" s="19"/>
    </row>
    <row r="606" spans="23:25" ht="12.75" customHeight="1" x14ac:dyDescent="0.2">
      <c r="W606" s="19"/>
      <c r="X606" s="18" t="str">
        <f t="shared" si="9"/>
        <v/>
      </c>
      <c r="Y606" s="19"/>
    </row>
    <row r="607" spans="23:25" ht="12.75" customHeight="1" x14ac:dyDescent="0.2">
      <c r="W607" s="19"/>
      <c r="X607" s="18" t="str">
        <f t="shared" si="9"/>
        <v/>
      </c>
      <c r="Y607" s="19"/>
    </row>
    <row r="608" spans="23:25" ht="12.75" customHeight="1" x14ac:dyDescent="0.2">
      <c r="W608" s="19"/>
      <c r="X608" s="18" t="str">
        <f t="shared" si="9"/>
        <v/>
      </c>
      <c r="Y608" s="19"/>
    </row>
    <row r="609" spans="23:25" ht="12.75" customHeight="1" x14ac:dyDescent="0.2">
      <c r="W609" s="19"/>
      <c r="X609" s="18" t="str">
        <f t="shared" si="9"/>
        <v/>
      </c>
      <c r="Y609" s="19"/>
    </row>
    <row r="610" spans="23:25" ht="12.75" customHeight="1" x14ac:dyDescent="0.2">
      <c r="W610" s="19"/>
      <c r="X610" s="18" t="str">
        <f t="shared" si="9"/>
        <v/>
      </c>
      <c r="Y610" s="19"/>
    </row>
    <row r="611" spans="23:25" ht="12.75" customHeight="1" x14ac:dyDescent="0.2">
      <c r="W611" s="19"/>
      <c r="X611" s="18" t="str">
        <f t="shared" si="9"/>
        <v/>
      </c>
      <c r="Y611" s="19"/>
    </row>
    <row r="612" spans="23:25" ht="12.75" customHeight="1" x14ac:dyDescent="0.2">
      <c r="W612" s="19"/>
      <c r="X612" s="18" t="str">
        <f t="shared" si="9"/>
        <v/>
      </c>
      <c r="Y612" s="19"/>
    </row>
    <row r="613" spans="23:25" ht="12.75" customHeight="1" x14ac:dyDescent="0.2">
      <c r="W613" s="19"/>
      <c r="X613" s="18" t="str">
        <f t="shared" si="9"/>
        <v/>
      </c>
      <c r="Y613" s="19"/>
    </row>
    <row r="614" spans="23:25" ht="12.75" customHeight="1" x14ac:dyDescent="0.2">
      <c r="W614" s="19"/>
      <c r="X614" s="18" t="str">
        <f t="shared" si="9"/>
        <v/>
      </c>
      <c r="Y614" s="19"/>
    </row>
    <row r="615" spans="23:25" ht="12.75" customHeight="1" x14ac:dyDescent="0.2">
      <c r="W615" s="19"/>
      <c r="X615" s="18" t="str">
        <f t="shared" si="9"/>
        <v/>
      </c>
      <c r="Y615" s="19"/>
    </row>
    <row r="616" spans="23:25" ht="12.75" customHeight="1" x14ac:dyDescent="0.2">
      <c r="W616" s="19"/>
      <c r="X616" s="18" t="str">
        <f t="shared" si="9"/>
        <v/>
      </c>
      <c r="Y616" s="19"/>
    </row>
    <row r="617" spans="23:25" ht="12.75" customHeight="1" x14ac:dyDescent="0.2">
      <c r="W617" s="19"/>
      <c r="X617" s="18" t="str">
        <f t="shared" si="9"/>
        <v/>
      </c>
      <c r="Y617" s="19"/>
    </row>
    <row r="618" spans="23:25" ht="12.75" customHeight="1" x14ac:dyDescent="0.2">
      <c r="W618" s="19"/>
      <c r="X618" s="18" t="str">
        <f t="shared" si="9"/>
        <v/>
      </c>
      <c r="Y618" s="19"/>
    </row>
    <row r="619" spans="23:25" ht="12.75" customHeight="1" x14ac:dyDescent="0.2">
      <c r="W619" s="19"/>
      <c r="X619" s="18" t="str">
        <f t="shared" si="9"/>
        <v/>
      </c>
      <c r="Y619" s="19"/>
    </row>
    <row r="620" spans="23:25" ht="12.75" customHeight="1" x14ac:dyDescent="0.2">
      <c r="W620" s="19"/>
      <c r="X620" s="18" t="str">
        <f t="shared" si="9"/>
        <v/>
      </c>
      <c r="Y620" s="19"/>
    </row>
    <row r="621" spans="23:25" ht="12.75" customHeight="1" x14ac:dyDescent="0.2">
      <c r="W621" s="19"/>
      <c r="X621" s="18" t="str">
        <f t="shared" si="9"/>
        <v/>
      </c>
      <c r="Y621" s="19"/>
    </row>
    <row r="622" spans="23:25" ht="12.75" customHeight="1" x14ac:dyDescent="0.2">
      <c r="W622" s="19"/>
      <c r="X622" s="18" t="str">
        <f t="shared" si="9"/>
        <v/>
      </c>
      <c r="Y622" s="19"/>
    </row>
    <row r="623" spans="23:25" ht="12.75" customHeight="1" x14ac:dyDescent="0.2">
      <c r="W623" s="19"/>
      <c r="X623" s="18" t="str">
        <f t="shared" si="9"/>
        <v/>
      </c>
      <c r="Y623" s="19"/>
    </row>
    <row r="624" spans="23:25" ht="12.75" customHeight="1" x14ac:dyDescent="0.2">
      <c r="W624" s="19"/>
      <c r="X624" s="18" t="str">
        <f t="shared" si="9"/>
        <v/>
      </c>
      <c r="Y624" s="19"/>
    </row>
    <row r="625" spans="23:25" ht="12.75" customHeight="1" x14ac:dyDescent="0.2">
      <c r="W625" s="19"/>
      <c r="X625" s="18" t="str">
        <f t="shared" si="9"/>
        <v/>
      </c>
      <c r="Y625" s="19"/>
    </row>
    <row r="626" spans="23:25" ht="12.75" customHeight="1" x14ac:dyDescent="0.2">
      <c r="W626" s="19"/>
      <c r="X626" s="18" t="str">
        <f t="shared" si="9"/>
        <v/>
      </c>
      <c r="Y626" s="19"/>
    </row>
    <row r="627" spans="23:25" ht="12.75" customHeight="1" x14ac:dyDescent="0.2">
      <c r="W627" s="19"/>
      <c r="X627" s="18" t="str">
        <f t="shared" si="9"/>
        <v/>
      </c>
      <c r="Y627" s="19"/>
    </row>
    <row r="628" spans="23:25" ht="12.75" customHeight="1" x14ac:dyDescent="0.2">
      <c r="W628" s="19"/>
      <c r="X628" s="18" t="str">
        <f t="shared" si="9"/>
        <v/>
      </c>
      <c r="Y628" s="19"/>
    </row>
    <row r="629" spans="23:25" ht="12.75" customHeight="1" x14ac:dyDescent="0.2">
      <c r="W629" s="19"/>
      <c r="X629" s="18" t="str">
        <f t="shared" si="9"/>
        <v/>
      </c>
      <c r="Y629" s="19"/>
    </row>
    <row r="630" spans="23:25" ht="12.75" customHeight="1" x14ac:dyDescent="0.2">
      <c r="W630" s="19"/>
      <c r="X630" s="18" t="str">
        <f t="shared" si="9"/>
        <v/>
      </c>
      <c r="Y630" s="19"/>
    </row>
    <row r="631" spans="23:25" ht="12.75" customHeight="1" x14ac:dyDescent="0.2">
      <c r="W631" s="19"/>
      <c r="X631" s="18" t="str">
        <f t="shared" si="9"/>
        <v/>
      </c>
      <c r="Y631" s="19"/>
    </row>
    <row r="632" spans="23:25" ht="12.75" customHeight="1" x14ac:dyDescent="0.2">
      <c r="W632" s="19"/>
      <c r="X632" s="18" t="str">
        <f t="shared" si="9"/>
        <v/>
      </c>
      <c r="Y632" s="19"/>
    </row>
    <row r="633" spans="23:25" ht="12.75" customHeight="1" x14ac:dyDescent="0.2">
      <c r="W633" s="19"/>
      <c r="X633" s="18" t="str">
        <f t="shared" si="9"/>
        <v/>
      </c>
      <c r="Y633" s="19"/>
    </row>
    <row r="634" spans="23:25" ht="12.75" customHeight="1" x14ac:dyDescent="0.2">
      <c r="W634" s="19"/>
      <c r="X634" s="18" t="str">
        <f t="shared" si="9"/>
        <v/>
      </c>
      <c r="Y634" s="19"/>
    </row>
    <row r="635" spans="23:25" ht="12.75" customHeight="1" x14ac:dyDescent="0.2">
      <c r="W635" s="19"/>
      <c r="X635" s="18" t="str">
        <f t="shared" si="9"/>
        <v/>
      </c>
      <c r="Y635" s="19"/>
    </row>
    <row r="636" spans="23:25" ht="12.75" customHeight="1" x14ac:dyDescent="0.2">
      <c r="W636" s="19"/>
      <c r="X636" s="18" t="str">
        <f t="shared" si="9"/>
        <v/>
      </c>
      <c r="Y636" s="19"/>
    </row>
    <row r="637" spans="23:25" ht="12.75" customHeight="1" x14ac:dyDescent="0.2">
      <c r="W637" s="19"/>
      <c r="X637" s="18" t="str">
        <f t="shared" si="9"/>
        <v/>
      </c>
      <c r="Y637" s="19"/>
    </row>
    <row r="638" spans="23:25" ht="12.75" customHeight="1" x14ac:dyDescent="0.2">
      <c r="W638" s="19"/>
      <c r="X638" s="18" t="str">
        <f t="shared" si="9"/>
        <v/>
      </c>
      <c r="Y638" s="19"/>
    </row>
    <row r="639" spans="23:25" ht="12.75" customHeight="1" x14ac:dyDescent="0.2">
      <c r="W639" s="19"/>
      <c r="X639" s="18" t="str">
        <f t="shared" si="9"/>
        <v/>
      </c>
      <c r="Y639" s="19"/>
    </row>
    <row r="640" spans="23:25" ht="12.75" customHeight="1" x14ac:dyDescent="0.2">
      <c r="W640" s="19"/>
      <c r="X640" s="18" t="str">
        <f t="shared" si="9"/>
        <v/>
      </c>
      <c r="Y640" s="19"/>
    </row>
    <row r="641" spans="23:25" ht="12.75" customHeight="1" x14ac:dyDescent="0.2">
      <c r="W641" s="19"/>
      <c r="X641" s="18" t="str">
        <f t="shared" si="9"/>
        <v/>
      </c>
      <c r="Y641" s="19"/>
    </row>
    <row r="642" spans="23:25" ht="12.75" customHeight="1" x14ac:dyDescent="0.2">
      <c r="W642" s="19"/>
      <c r="X642" s="18" t="str">
        <f t="shared" si="9"/>
        <v/>
      </c>
      <c r="Y642" s="19"/>
    </row>
    <row r="643" spans="23:25" ht="12.75" customHeight="1" x14ac:dyDescent="0.2">
      <c r="W643" s="19"/>
      <c r="X643" s="18" t="str">
        <f t="shared" si="9"/>
        <v/>
      </c>
      <c r="Y643" s="19"/>
    </row>
    <row r="644" spans="23:25" ht="12.75" customHeight="1" x14ac:dyDescent="0.2">
      <c r="W644" s="19"/>
      <c r="X644" s="18" t="str">
        <f t="shared" si="9"/>
        <v/>
      </c>
      <c r="Y644" s="19"/>
    </row>
    <row r="645" spans="23:25" ht="12.75" customHeight="1" x14ac:dyDescent="0.2">
      <c r="W645" s="19"/>
      <c r="X645" s="18" t="str">
        <f t="shared" si="9"/>
        <v/>
      </c>
      <c r="Y645" s="19"/>
    </row>
    <row r="646" spans="23:25" ht="12.75" customHeight="1" x14ac:dyDescent="0.2">
      <c r="W646" s="19"/>
      <c r="X646" s="18" t="str">
        <f t="shared" si="9"/>
        <v/>
      </c>
      <c r="Y646" s="19"/>
    </row>
    <row r="647" spans="23:25" ht="12.75" customHeight="1" x14ac:dyDescent="0.2">
      <c r="W647" s="19"/>
      <c r="X647" s="18" t="str">
        <f t="shared" si="9"/>
        <v/>
      </c>
      <c r="Y647" s="19"/>
    </row>
    <row r="648" spans="23:25" ht="12.75" customHeight="1" x14ac:dyDescent="0.2">
      <c r="W648" s="19"/>
      <c r="X648" s="18" t="str">
        <f t="shared" si="9"/>
        <v/>
      </c>
      <c r="Y648" s="19"/>
    </row>
    <row r="649" spans="23:25" ht="12.75" customHeight="1" x14ac:dyDescent="0.2">
      <c r="W649" s="19"/>
      <c r="X649" s="18" t="str">
        <f t="shared" si="9"/>
        <v/>
      </c>
      <c r="Y649" s="19"/>
    </row>
    <row r="650" spans="23:25" ht="12.75" customHeight="1" x14ac:dyDescent="0.2">
      <c r="W650" s="19"/>
      <c r="X650" s="18" t="str">
        <f t="shared" ref="X650:X713" si="10">IF(D650="0001","3rd Party","")</f>
        <v/>
      </c>
      <c r="Y650" s="19"/>
    </row>
    <row r="651" spans="23:25" ht="12.75" customHeight="1" x14ac:dyDescent="0.2">
      <c r="W651" s="19"/>
      <c r="X651" s="18" t="str">
        <f t="shared" si="10"/>
        <v/>
      </c>
      <c r="Y651" s="19"/>
    </row>
    <row r="652" spans="23:25" ht="12.75" customHeight="1" x14ac:dyDescent="0.2">
      <c r="W652" s="19"/>
      <c r="X652" s="18" t="str">
        <f t="shared" si="10"/>
        <v/>
      </c>
      <c r="Y652" s="19"/>
    </row>
    <row r="653" spans="23:25" ht="12.75" customHeight="1" x14ac:dyDescent="0.2">
      <c r="W653" s="19"/>
      <c r="X653" s="18" t="str">
        <f t="shared" si="10"/>
        <v/>
      </c>
      <c r="Y653" s="19"/>
    </row>
    <row r="654" spans="23:25" ht="12.75" customHeight="1" x14ac:dyDescent="0.2">
      <c r="W654" s="19"/>
      <c r="X654" s="18" t="str">
        <f t="shared" si="10"/>
        <v/>
      </c>
      <c r="Y654" s="19"/>
    </row>
    <row r="655" spans="23:25" ht="12.75" customHeight="1" x14ac:dyDescent="0.2">
      <c r="W655" s="19"/>
      <c r="X655" s="18" t="str">
        <f t="shared" si="10"/>
        <v/>
      </c>
      <c r="Y655" s="19"/>
    </row>
    <row r="656" spans="23:25" ht="12.75" customHeight="1" x14ac:dyDescent="0.2">
      <c r="W656" s="19"/>
      <c r="X656" s="18" t="str">
        <f t="shared" si="10"/>
        <v/>
      </c>
      <c r="Y656" s="19"/>
    </row>
    <row r="657" spans="23:25" ht="12.75" customHeight="1" x14ac:dyDescent="0.2">
      <c r="W657" s="19"/>
      <c r="X657" s="18" t="str">
        <f t="shared" si="10"/>
        <v/>
      </c>
      <c r="Y657" s="19"/>
    </row>
    <row r="658" spans="23:25" ht="12.75" customHeight="1" x14ac:dyDescent="0.2">
      <c r="W658" s="19"/>
      <c r="X658" s="18" t="str">
        <f t="shared" si="10"/>
        <v/>
      </c>
      <c r="Y658" s="19"/>
    </row>
    <row r="659" spans="23:25" ht="12.75" customHeight="1" x14ac:dyDescent="0.2">
      <c r="W659" s="19"/>
      <c r="X659" s="18" t="str">
        <f t="shared" si="10"/>
        <v/>
      </c>
      <c r="Y659" s="19"/>
    </row>
    <row r="660" spans="23:25" ht="12.75" customHeight="1" x14ac:dyDescent="0.2">
      <c r="W660" s="19"/>
      <c r="X660" s="18" t="str">
        <f t="shared" si="10"/>
        <v/>
      </c>
      <c r="Y660" s="19"/>
    </row>
    <row r="661" spans="23:25" ht="12.75" customHeight="1" x14ac:dyDescent="0.2">
      <c r="W661" s="19"/>
      <c r="X661" s="18" t="str">
        <f t="shared" si="10"/>
        <v/>
      </c>
      <c r="Y661" s="19"/>
    </row>
    <row r="662" spans="23:25" ht="12.75" customHeight="1" x14ac:dyDescent="0.2">
      <c r="W662" s="19"/>
      <c r="X662" s="18" t="str">
        <f t="shared" si="10"/>
        <v/>
      </c>
      <c r="Y662" s="19"/>
    </row>
    <row r="663" spans="23:25" ht="12.75" customHeight="1" x14ac:dyDescent="0.2">
      <c r="W663" s="19"/>
      <c r="X663" s="18" t="str">
        <f t="shared" si="10"/>
        <v/>
      </c>
      <c r="Y663" s="19"/>
    </row>
    <row r="664" spans="23:25" ht="12.75" customHeight="1" x14ac:dyDescent="0.2">
      <c r="W664" s="19"/>
      <c r="X664" s="18" t="str">
        <f t="shared" si="10"/>
        <v/>
      </c>
      <c r="Y664" s="19"/>
    </row>
    <row r="665" spans="23:25" ht="12.75" customHeight="1" x14ac:dyDescent="0.2">
      <c r="W665" s="19"/>
      <c r="X665" s="18" t="str">
        <f t="shared" si="10"/>
        <v/>
      </c>
      <c r="Y665" s="19"/>
    </row>
    <row r="666" spans="23:25" ht="12.75" customHeight="1" x14ac:dyDescent="0.2">
      <c r="W666" s="19"/>
      <c r="X666" s="18" t="str">
        <f t="shared" si="10"/>
        <v/>
      </c>
      <c r="Y666" s="19"/>
    </row>
    <row r="667" spans="23:25" ht="12.75" customHeight="1" x14ac:dyDescent="0.2">
      <c r="W667" s="19"/>
      <c r="X667" s="18" t="str">
        <f t="shared" si="10"/>
        <v/>
      </c>
      <c r="Y667" s="19"/>
    </row>
    <row r="668" spans="23:25" ht="12.75" customHeight="1" x14ac:dyDescent="0.2">
      <c r="W668" s="19"/>
      <c r="X668" s="18" t="str">
        <f t="shared" si="10"/>
        <v/>
      </c>
      <c r="Y668" s="19"/>
    </row>
    <row r="669" spans="23:25" ht="12.75" customHeight="1" x14ac:dyDescent="0.2">
      <c r="W669" s="19"/>
      <c r="X669" s="18" t="str">
        <f t="shared" si="10"/>
        <v/>
      </c>
      <c r="Y669" s="19"/>
    </row>
    <row r="670" spans="23:25" ht="12.75" customHeight="1" x14ac:dyDescent="0.2">
      <c r="W670" s="19"/>
      <c r="X670" s="18" t="str">
        <f t="shared" si="10"/>
        <v/>
      </c>
      <c r="Y670" s="19"/>
    </row>
    <row r="671" spans="23:25" ht="12.75" customHeight="1" x14ac:dyDescent="0.2">
      <c r="W671" s="19"/>
      <c r="X671" s="18" t="str">
        <f t="shared" si="10"/>
        <v/>
      </c>
      <c r="Y671" s="19"/>
    </row>
    <row r="672" spans="23:25" ht="12.75" customHeight="1" x14ac:dyDescent="0.2">
      <c r="W672" s="19"/>
      <c r="X672" s="18" t="str">
        <f t="shared" si="10"/>
        <v/>
      </c>
      <c r="Y672" s="19"/>
    </row>
    <row r="673" spans="23:25" ht="12.75" customHeight="1" x14ac:dyDescent="0.2">
      <c r="W673" s="19"/>
      <c r="X673" s="18" t="str">
        <f t="shared" si="10"/>
        <v/>
      </c>
      <c r="Y673" s="19"/>
    </row>
    <row r="674" spans="23:25" ht="12.75" customHeight="1" x14ac:dyDescent="0.2">
      <c r="W674" s="19"/>
      <c r="X674" s="18" t="str">
        <f t="shared" si="10"/>
        <v/>
      </c>
      <c r="Y674" s="19"/>
    </row>
    <row r="675" spans="23:25" ht="12.75" customHeight="1" x14ac:dyDescent="0.2">
      <c r="W675" s="19"/>
      <c r="X675" s="18" t="str">
        <f t="shared" si="10"/>
        <v/>
      </c>
      <c r="Y675" s="19"/>
    </row>
    <row r="676" spans="23:25" ht="12.75" customHeight="1" x14ac:dyDescent="0.2">
      <c r="W676" s="19"/>
      <c r="X676" s="18" t="str">
        <f t="shared" si="10"/>
        <v/>
      </c>
      <c r="Y676" s="19"/>
    </row>
    <row r="677" spans="23:25" ht="12.75" customHeight="1" x14ac:dyDescent="0.2">
      <c r="W677" s="19"/>
      <c r="X677" s="18" t="str">
        <f t="shared" si="10"/>
        <v/>
      </c>
      <c r="Y677" s="19"/>
    </row>
    <row r="678" spans="23:25" ht="12.75" customHeight="1" x14ac:dyDescent="0.2">
      <c r="W678" s="19"/>
      <c r="X678" s="18" t="str">
        <f t="shared" si="10"/>
        <v/>
      </c>
      <c r="Y678" s="19"/>
    </row>
    <row r="679" spans="23:25" ht="12.75" customHeight="1" x14ac:dyDescent="0.2">
      <c r="W679" s="19"/>
      <c r="X679" s="18" t="str">
        <f t="shared" si="10"/>
        <v/>
      </c>
      <c r="Y679" s="19"/>
    </row>
    <row r="680" spans="23:25" ht="12.75" customHeight="1" x14ac:dyDescent="0.2">
      <c r="W680" s="19"/>
      <c r="X680" s="18" t="str">
        <f t="shared" si="10"/>
        <v/>
      </c>
      <c r="Y680" s="19"/>
    </row>
    <row r="681" spans="23:25" ht="12.75" customHeight="1" x14ac:dyDescent="0.2">
      <c r="W681" s="19"/>
      <c r="X681" s="18" t="str">
        <f t="shared" si="10"/>
        <v/>
      </c>
      <c r="Y681" s="19"/>
    </row>
    <row r="682" spans="23:25" ht="12.75" customHeight="1" x14ac:dyDescent="0.2">
      <c r="W682" s="19"/>
      <c r="X682" s="18" t="str">
        <f t="shared" si="10"/>
        <v/>
      </c>
      <c r="Y682" s="19"/>
    </row>
    <row r="683" spans="23:25" ht="12.75" customHeight="1" x14ac:dyDescent="0.2">
      <c r="W683" s="19"/>
      <c r="X683" s="18" t="str">
        <f t="shared" si="10"/>
        <v/>
      </c>
      <c r="Y683" s="19"/>
    </row>
    <row r="684" spans="23:25" ht="12.75" customHeight="1" x14ac:dyDescent="0.2">
      <c r="W684" s="19"/>
      <c r="X684" s="18" t="str">
        <f t="shared" si="10"/>
        <v/>
      </c>
      <c r="Y684" s="19"/>
    </row>
    <row r="685" spans="23:25" ht="12.75" customHeight="1" x14ac:dyDescent="0.2">
      <c r="W685" s="19"/>
      <c r="X685" s="18" t="str">
        <f t="shared" si="10"/>
        <v/>
      </c>
      <c r="Y685" s="19"/>
    </row>
    <row r="686" spans="23:25" ht="12.75" customHeight="1" x14ac:dyDescent="0.2">
      <c r="W686" s="19"/>
      <c r="X686" s="18" t="str">
        <f t="shared" si="10"/>
        <v/>
      </c>
      <c r="Y686" s="19"/>
    </row>
    <row r="687" spans="23:25" ht="12.75" customHeight="1" x14ac:dyDescent="0.2">
      <c r="W687" s="19"/>
      <c r="X687" s="18" t="str">
        <f t="shared" si="10"/>
        <v/>
      </c>
      <c r="Y687" s="19"/>
    </row>
    <row r="688" spans="23:25" ht="12.75" customHeight="1" x14ac:dyDescent="0.2">
      <c r="W688" s="19"/>
      <c r="X688" s="18" t="str">
        <f t="shared" si="10"/>
        <v/>
      </c>
      <c r="Y688" s="19"/>
    </row>
    <row r="689" spans="23:25" ht="12.75" customHeight="1" x14ac:dyDescent="0.2">
      <c r="W689" s="19"/>
      <c r="X689" s="18" t="str">
        <f t="shared" si="10"/>
        <v/>
      </c>
      <c r="Y689" s="19"/>
    </row>
    <row r="690" spans="23:25" ht="12.75" customHeight="1" x14ac:dyDescent="0.2">
      <c r="W690" s="19"/>
      <c r="X690" s="18" t="str">
        <f t="shared" si="10"/>
        <v/>
      </c>
      <c r="Y690" s="19"/>
    </row>
    <row r="691" spans="23:25" ht="12.75" customHeight="1" x14ac:dyDescent="0.2">
      <c r="W691" s="19"/>
      <c r="X691" s="18" t="str">
        <f t="shared" si="10"/>
        <v/>
      </c>
      <c r="Y691" s="19"/>
    </row>
    <row r="692" spans="23:25" ht="12.75" customHeight="1" x14ac:dyDescent="0.2">
      <c r="W692" s="19"/>
      <c r="X692" s="18" t="str">
        <f t="shared" si="10"/>
        <v/>
      </c>
      <c r="Y692" s="19"/>
    </row>
    <row r="693" spans="23:25" ht="12.75" customHeight="1" x14ac:dyDescent="0.2">
      <c r="W693" s="19"/>
      <c r="X693" s="18" t="str">
        <f t="shared" si="10"/>
        <v/>
      </c>
      <c r="Y693" s="19"/>
    </row>
    <row r="694" spans="23:25" ht="12.75" customHeight="1" x14ac:dyDescent="0.2">
      <c r="W694" s="19"/>
      <c r="X694" s="18" t="str">
        <f t="shared" si="10"/>
        <v/>
      </c>
      <c r="Y694" s="19"/>
    </row>
    <row r="695" spans="23:25" ht="12.75" customHeight="1" x14ac:dyDescent="0.2">
      <c r="W695" s="19"/>
      <c r="X695" s="18" t="str">
        <f t="shared" si="10"/>
        <v/>
      </c>
      <c r="Y695" s="19"/>
    </row>
    <row r="696" spans="23:25" ht="12.75" customHeight="1" x14ac:dyDescent="0.2">
      <c r="W696" s="19"/>
      <c r="X696" s="18" t="str">
        <f t="shared" si="10"/>
        <v/>
      </c>
      <c r="Y696" s="19"/>
    </row>
    <row r="697" spans="23:25" ht="12.75" customHeight="1" x14ac:dyDescent="0.2">
      <c r="W697" s="19"/>
      <c r="X697" s="18" t="str">
        <f t="shared" si="10"/>
        <v/>
      </c>
      <c r="Y697" s="19"/>
    </row>
    <row r="698" spans="23:25" ht="12.75" customHeight="1" x14ac:dyDescent="0.2">
      <c r="W698" s="19"/>
      <c r="X698" s="18" t="str">
        <f t="shared" si="10"/>
        <v/>
      </c>
      <c r="Y698" s="19"/>
    </row>
    <row r="699" spans="23:25" ht="12.75" customHeight="1" x14ac:dyDescent="0.2">
      <c r="W699" s="19"/>
      <c r="X699" s="18" t="str">
        <f t="shared" si="10"/>
        <v/>
      </c>
      <c r="Y699" s="19"/>
    </row>
    <row r="700" spans="23:25" ht="12.75" customHeight="1" x14ac:dyDescent="0.2">
      <c r="W700" s="19"/>
      <c r="X700" s="18" t="str">
        <f t="shared" si="10"/>
        <v/>
      </c>
      <c r="Y700" s="19"/>
    </row>
    <row r="701" spans="23:25" ht="12.75" customHeight="1" x14ac:dyDescent="0.2">
      <c r="W701" s="19"/>
      <c r="X701" s="18" t="str">
        <f t="shared" si="10"/>
        <v/>
      </c>
      <c r="Y701" s="19"/>
    </row>
    <row r="702" spans="23:25" ht="12.75" customHeight="1" x14ac:dyDescent="0.2">
      <c r="W702" s="19"/>
      <c r="X702" s="18" t="str">
        <f t="shared" si="10"/>
        <v/>
      </c>
      <c r="Y702" s="19"/>
    </row>
    <row r="703" spans="23:25" ht="12.75" customHeight="1" x14ac:dyDescent="0.2">
      <c r="W703" s="19"/>
      <c r="X703" s="18" t="str">
        <f t="shared" si="10"/>
        <v/>
      </c>
      <c r="Y703" s="19"/>
    </row>
    <row r="704" spans="23:25" ht="12.75" customHeight="1" x14ac:dyDescent="0.2">
      <c r="W704" s="19"/>
      <c r="X704" s="18" t="str">
        <f t="shared" si="10"/>
        <v/>
      </c>
      <c r="Y704" s="19"/>
    </row>
    <row r="705" spans="23:25" ht="12.75" customHeight="1" x14ac:dyDescent="0.2">
      <c r="W705" s="19"/>
      <c r="X705" s="18" t="str">
        <f t="shared" si="10"/>
        <v/>
      </c>
      <c r="Y705" s="19"/>
    </row>
    <row r="706" spans="23:25" ht="12.75" customHeight="1" x14ac:dyDescent="0.2">
      <c r="W706" s="19"/>
      <c r="X706" s="18" t="str">
        <f t="shared" si="10"/>
        <v/>
      </c>
      <c r="Y706" s="19"/>
    </row>
    <row r="707" spans="23:25" ht="12.75" customHeight="1" x14ac:dyDescent="0.2">
      <c r="W707" s="19"/>
      <c r="X707" s="18" t="str">
        <f t="shared" si="10"/>
        <v/>
      </c>
      <c r="Y707" s="19"/>
    </row>
    <row r="708" spans="23:25" ht="12.75" customHeight="1" x14ac:dyDescent="0.2">
      <c r="W708" s="19"/>
      <c r="X708" s="18" t="str">
        <f t="shared" si="10"/>
        <v/>
      </c>
      <c r="Y708" s="19"/>
    </row>
    <row r="709" spans="23:25" ht="12.75" customHeight="1" x14ac:dyDescent="0.2">
      <c r="W709" s="19"/>
      <c r="X709" s="18" t="str">
        <f t="shared" si="10"/>
        <v/>
      </c>
      <c r="Y709" s="19"/>
    </row>
    <row r="710" spans="23:25" ht="12.75" customHeight="1" x14ac:dyDescent="0.2">
      <c r="W710" s="19"/>
      <c r="X710" s="18" t="str">
        <f t="shared" si="10"/>
        <v/>
      </c>
      <c r="Y710" s="19"/>
    </row>
    <row r="711" spans="23:25" ht="12.75" customHeight="1" x14ac:dyDescent="0.2">
      <c r="W711" s="19"/>
      <c r="X711" s="18" t="str">
        <f t="shared" si="10"/>
        <v/>
      </c>
      <c r="Y711" s="19"/>
    </row>
    <row r="712" spans="23:25" ht="12.75" customHeight="1" x14ac:dyDescent="0.2">
      <c r="W712" s="19"/>
      <c r="X712" s="18" t="str">
        <f t="shared" si="10"/>
        <v/>
      </c>
      <c r="Y712" s="19"/>
    </row>
    <row r="713" spans="23:25" ht="12.75" customHeight="1" x14ac:dyDescent="0.2">
      <c r="W713" s="19"/>
      <c r="X713" s="18" t="str">
        <f t="shared" si="10"/>
        <v/>
      </c>
      <c r="Y713" s="19"/>
    </row>
    <row r="714" spans="23:25" ht="12.75" customHeight="1" x14ac:dyDescent="0.2">
      <c r="W714" s="19"/>
      <c r="X714" s="18" t="str">
        <f t="shared" ref="X714:X777" si="11">IF(D714="0001","3rd Party","")</f>
        <v/>
      </c>
      <c r="Y714" s="19"/>
    </row>
    <row r="715" spans="23:25" ht="12.75" customHeight="1" x14ac:dyDescent="0.2">
      <c r="W715" s="19"/>
      <c r="X715" s="18" t="str">
        <f t="shared" si="11"/>
        <v/>
      </c>
      <c r="Y715" s="19"/>
    </row>
    <row r="716" spans="23:25" ht="12.75" customHeight="1" x14ac:dyDescent="0.2">
      <c r="W716" s="19"/>
      <c r="X716" s="18" t="str">
        <f t="shared" si="11"/>
        <v/>
      </c>
      <c r="Y716" s="19"/>
    </row>
    <row r="717" spans="23:25" ht="12.75" customHeight="1" x14ac:dyDescent="0.2">
      <c r="W717" s="19"/>
      <c r="X717" s="18" t="str">
        <f t="shared" si="11"/>
        <v/>
      </c>
      <c r="Y717" s="19"/>
    </row>
    <row r="718" spans="23:25" ht="12.75" customHeight="1" x14ac:dyDescent="0.2">
      <c r="W718" s="19"/>
      <c r="X718" s="18" t="str">
        <f t="shared" si="11"/>
        <v/>
      </c>
      <c r="Y718" s="19"/>
    </row>
    <row r="719" spans="23:25" ht="12.75" customHeight="1" x14ac:dyDescent="0.2">
      <c r="W719" s="19"/>
      <c r="X719" s="18" t="str">
        <f t="shared" si="11"/>
        <v/>
      </c>
      <c r="Y719" s="19"/>
    </row>
    <row r="720" spans="23:25" ht="12.75" customHeight="1" x14ac:dyDescent="0.2">
      <c r="W720" s="19"/>
      <c r="X720" s="18" t="str">
        <f t="shared" si="11"/>
        <v/>
      </c>
      <c r="Y720" s="19"/>
    </row>
    <row r="721" spans="23:25" ht="12.75" customHeight="1" x14ac:dyDescent="0.2">
      <c r="W721" s="19"/>
      <c r="X721" s="18" t="str">
        <f t="shared" si="11"/>
        <v/>
      </c>
      <c r="Y721" s="19"/>
    </row>
    <row r="722" spans="23:25" ht="12.75" customHeight="1" x14ac:dyDescent="0.2">
      <c r="W722" s="19"/>
      <c r="X722" s="18" t="str">
        <f t="shared" si="11"/>
        <v/>
      </c>
      <c r="Y722" s="19"/>
    </row>
    <row r="723" spans="23:25" ht="12.75" customHeight="1" x14ac:dyDescent="0.2">
      <c r="W723" s="19"/>
      <c r="X723" s="18" t="str">
        <f t="shared" si="11"/>
        <v/>
      </c>
      <c r="Y723" s="19"/>
    </row>
    <row r="724" spans="23:25" ht="12.75" customHeight="1" x14ac:dyDescent="0.2">
      <c r="W724" s="19"/>
      <c r="X724" s="18" t="str">
        <f t="shared" si="11"/>
        <v/>
      </c>
      <c r="Y724" s="19"/>
    </row>
    <row r="725" spans="23:25" ht="12.75" customHeight="1" x14ac:dyDescent="0.2">
      <c r="W725" s="19"/>
      <c r="X725" s="18" t="str">
        <f t="shared" si="11"/>
        <v/>
      </c>
      <c r="Y725" s="19"/>
    </row>
    <row r="726" spans="23:25" ht="12.75" customHeight="1" x14ac:dyDescent="0.2">
      <c r="W726" s="19"/>
      <c r="X726" s="18" t="str">
        <f t="shared" si="11"/>
        <v/>
      </c>
      <c r="Y726" s="19"/>
    </row>
    <row r="727" spans="23:25" ht="12.75" customHeight="1" x14ac:dyDescent="0.2">
      <c r="W727" s="19"/>
      <c r="X727" s="18" t="str">
        <f t="shared" si="11"/>
        <v/>
      </c>
      <c r="Y727" s="19"/>
    </row>
    <row r="728" spans="23:25" ht="12.75" customHeight="1" x14ac:dyDescent="0.2">
      <c r="W728" s="19"/>
      <c r="X728" s="18" t="str">
        <f t="shared" si="11"/>
        <v/>
      </c>
      <c r="Y728" s="19"/>
    </row>
    <row r="729" spans="23:25" ht="12.75" customHeight="1" x14ac:dyDescent="0.2">
      <c r="W729" s="19"/>
      <c r="X729" s="18" t="str">
        <f t="shared" si="11"/>
        <v/>
      </c>
      <c r="Y729" s="19"/>
    </row>
    <row r="730" spans="23:25" ht="12.75" customHeight="1" x14ac:dyDescent="0.2">
      <c r="W730" s="19"/>
      <c r="X730" s="18" t="str">
        <f t="shared" si="11"/>
        <v/>
      </c>
      <c r="Y730" s="19"/>
    </row>
    <row r="731" spans="23:25" ht="12.75" customHeight="1" x14ac:dyDescent="0.2">
      <c r="W731" s="19"/>
      <c r="X731" s="18" t="str">
        <f t="shared" si="11"/>
        <v/>
      </c>
      <c r="Y731" s="19"/>
    </row>
    <row r="732" spans="23:25" ht="12.75" customHeight="1" x14ac:dyDescent="0.2">
      <c r="W732" s="19"/>
      <c r="X732" s="18" t="str">
        <f t="shared" si="11"/>
        <v/>
      </c>
      <c r="Y732" s="19"/>
    </row>
    <row r="733" spans="23:25" ht="12.75" customHeight="1" x14ac:dyDescent="0.2">
      <c r="W733" s="19"/>
      <c r="X733" s="18" t="str">
        <f t="shared" si="11"/>
        <v/>
      </c>
      <c r="Y733" s="19"/>
    </row>
    <row r="734" spans="23:25" ht="12.75" customHeight="1" x14ac:dyDescent="0.2">
      <c r="W734" s="19"/>
      <c r="X734" s="18" t="str">
        <f t="shared" si="11"/>
        <v/>
      </c>
      <c r="Y734" s="19"/>
    </row>
    <row r="735" spans="23:25" ht="12.75" customHeight="1" x14ac:dyDescent="0.2">
      <c r="W735" s="19"/>
      <c r="X735" s="18" t="str">
        <f t="shared" si="11"/>
        <v/>
      </c>
      <c r="Y735" s="19"/>
    </row>
    <row r="736" spans="23:25" ht="12.75" customHeight="1" x14ac:dyDescent="0.2">
      <c r="W736" s="19"/>
      <c r="X736" s="18" t="str">
        <f t="shared" si="11"/>
        <v/>
      </c>
      <c r="Y736" s="19"/>
    </row>
    <row r="737" spans="23:25" ht="12.75" customHeight="1" x14ac:dyDescent="0.2">
      <c r="W737" s="19"/>
      <c r="X737" s="18" t="str">
        <f t="shared" si="11"/>
        <v/>
      </c>
      <c r="Y737" s="19"/>
    </row>
    <row r="738" spans="23:25" ht="12.75" customHeight="1" x14ac:dyDescent="0.2">
      <c r="W738" s="19"/>
      <c r="X738" s="18" t="str">
        <f t="shared" si="11"/>
        <v/>
      </c>
      <c r="Y738" s="19"/>
    </row>
    <row r="739" spans="23:25" ht="12.75" customHeight="1" x14ac:dyDescent="0.2">
      <c r="W739" s="19"/>
      <c r="X739" s="18" t="str">
        <f t="shared" si="11"/>
        <v/>
      </c>
      <c r="Y739" s="19"/>
    </row>
    <row r="740" spans="23:25" ht="12.75" customHeight="1" x14ac:dyDescent="0.2">
      <c r="W740" s="19"/>
      <c r="X740" s="18" t="str">
        <f t="shared" si="11"/>
        <v/>
      </c>
      <c r="Y740" s="19"/>
    </row>
    <row r="741" spans="23:25" ht="12.75" customHeight="1" x14ac:dyDescent="0.2">
      <c r="W741" s="19"/>
      <c r="X741" s="18" t="str">
        <f t="shared" si="11"/>
        <v/>
      </c>
      <c r="Y741" s="19"/>
    </row>
    <row r="742" spans="23:25" ht="12.75" customHeight="1" x14ac:dyDescent="0.2">
      <c r="W742" s="19"/>
      <c r="X742" s="18" t="str">
        <f t="shared" si="11"/>
        <v/>
      </c>
      <c r="Y742" s="19"/>
    </row>
    <row r="743" spans="23:25" ht="12.75" customHeight="1" x14ac:dyDescent="0.2">
      <c r="W743" s="19"/>
      <c r="X743" s="18" t="str">
        <f t="shared" si="11"/>
        <v/>
      </c>
      <c r="Y743" s="19"/>
    </row>
    <row r="744" spans="23:25" ht="12.75" customHeight="1" x14ac:dyDescent="0.2">
      <c r="W744" s="19"/>
      <c r="X744" s="18" t="str">
        <f t="shared" si="11"/>
        <v/>
      </c>
      <c r="Y744" s="19"/>
    </row>
    <row r="745" spans="23:25" ht="12.75" customHeight="1" x14ac:dyDescent="0.2">
      <c r="W745" s="19"/>
      <c r="X745" s="18" t="str">
        <f t="shared" si="11"/>
        <v/>
      </c>
      <c r="Y745" s="19"/>
    </row>
    <row r="746" spans="23:25" ht="12.75" customHeight="1" x14ac:dyDescent="0.2">
      <c r="W746" s="19"/>
      <c r="X746" s="18" t="str">
        <f t="shared" si="11"/>
        <v/>
      </c>
      <c r="Y746" s="19"/>
    </row>
    <row r="747" spans="23:25" ht="12.75" customHeight="1" x14ac:dyDescent="0.2">
      <c r="W747" s="19"/>
      <c r="X747" s="18" t="str">
        <f t="shared" si="11"/>
        <v/>
      </c>
      <c r="Y747" s="19"/>
    </row>
    <row r="748" spans="23:25" ht="12.75" customHeight="1" x14ac:dyDescent="0.2">
      <c r="W748" s="19"/>
      <c r="X748" s="18" t="str">
        <f t="shared" si="11"/>
        <v/>
      </c>
      <c r="Y748" s="19"/>
    </row>
    <row r="749" spans="23:25" ht="12.75" customHeight="1" x14ac:dyDescent="0.2">
      <c r="W749" s="19"/>
      <c r="X749" s="18" t="str">
        <f t="shared" si="11"/>
        <v/>
      </c>
      <c r="Y749" s="19"/>
    </row>
    <row r="750" spans="23:25" ht="12.75" customHeight="1" x14ac:dyDescent="0.2">
      <c r="W750" s="19"/>
      <c r="X750" s="18" t="str">
        <f t="shared" si="11"/>
        <v/>
      </c>
      <c r="Y750" s="19"/>
    </row>
    <row r="751" spans="23:25" ht="12.75" customHeight="1" x14ac:dyDescent="0.2">
      <c r="W751" s="19"/>
      <c r="X751" s="18" t="str">
        <f t="shared" si="11"/>
        <v/>
      </c>
      <c r="Y751" s="19"/>
    </row>
    <row r="752" spans="23:25" ht="12.75" customHeight="1" x14ac:dyDescent="0.2">
      <c r="W752" s="19"/>
      <c r="X752" s="18" t="str">
        <f t="shared" si="11"/>
        <v/>
      </c>
      <c r="Y752" s="19"/>
    </row>
    <row r="753" spans="23:25" ht="12.75" customHeight="1" x14ac:dyDescent="0.2">
      <c r="W753" s="19"/>
      <c r="X753" s="18" t="str">
        <f t="shared" si="11"/>
        <v/>
      </c>
      <c r="Y753" s="19"/>
    </row>
    <row r="754" spans="23:25" ht="12.75" customHeight="1" x14ac:dyDescent="0.2">
      <c r="W754" s="19"/>
      <c r="X754" s="18" t="str">
        <f t="shared" si="11"/>
        <v/>
      </c>
      <c r="Y754" s="19"/>
    </row>
    <row r="755" spans="23:25" ht="12.75" customHeight="1" x14ac:dyDescent="0.2">
      <c r="W755" s="19"/>
      <c r="X755" s="18" t="str">
        <f t="shared" si="11"/>
        <v/>
      </c>
      <c r="Y755" s="19"/>
    </row>
    <row r="756" spans="23:25" ht="12.75" customHeight="1" x14ac:dyDescent="0.2">
      <c r="W756" s="19"/>
      <c r="X756" s="18" t="str">
        <f t="shared" si="11"/>
        <v/>
      </c>
      <c r="Y756" s="19"/>
    </row>
    <row r="757" spans="23:25" ht="12.75" customHeight="1" x14ac:dyDescent="0.2">
      <c r="W757" s="19"/>
      <c r="X757" s="18" t="str">
        <f t="shared" si="11"/>
        <v/>
      </c>
      <c r="Y757" s="19"/>
    </row>
    <row r="758" spans="23:25" ht="12.75" customHeight="1" x14ac:dyDescent="0.2">
      <c r="W758" s="19"/>
      <c r="X758" s="18" t="str">
        <f t="shared" si="11"/>
        <v/>
      </c>
      <c r="Y758" s="19"/>
    </row>
    <row r="759" spans="23:25" ht="12.75" customHeight="1" x14ac:dyDescent="0.2">
      <c r="W759" s="19"/>
      <c r="X759" s="18" t="str">
        <f t="shared" si="11"/>
        <v/>
      </c>
      <c r="Y759" s="19"/>
    </row>
    <row r="760" spans="23:25" ht="12.75" customHeight="1" x14ac:dyDescent="0.2">
      <c r="W760" s="19"/>
      <c r="X760" s="18" t="str">
        <f t="shared" si="11"/>
        <v/>
      </c>
      <c r="Y760" s="19"/>
    </row>
    <row r="761" spans="23:25" ht="12.75" customHeight="1" x14ac:dyDescent="0.2">
      <c r="W761" s="19"/>
      <c r="X761" s="18" t="str">
        <f t="shared" si="11"/>
        <v/>
      </c>
      <c r="Y761" s="19"/>
    </row>
    <row r="762" spans="23:25" ht="12.75" customHeight="1" x14ac:dyDescent="0.2">
      <c r="W762" s="19"/>
      <c r="X762" s="18" t="str">
        <f t="shared" si="11"/>
        <v/>
      </c>
      <c r="Y762" s="19"/>
    </row>
    <row r="763" spans="23:25" ht="12.75" customHeight="1" x14ac:dyDescent="0.2">
      <c r="W763" s="19"/>
      <c r="X763" s="18" t="str">
        <f t="shared" si="11"/>
        <v/>
      </c>
      <c r="Y763" s="19"/>
    </row>
    <row r="764" spans="23:25" ht="12.75" customHeight="1" x14ac:dyDescent="0.2">
      <c r="W764" s="19"/>
      <c r="X764" s="18" t="str">
        <f t="shared" si="11"/>
        <v/>
      </c>
      <c r="Y764" s="19"/>
    </row>
    <row r="765" spans="23:25" ht="12.75" customHeight="1" x14ac:dyDescent="0.2">
      <c r="W765" s="19"/>
      <c r="X765" s="18" t="str">
        <f t="shared" si="11"/>
        <v/>
      </c>
      <c r="Y765" s="19"/>
    </row>
    <row r="766" spans="23:25" ht="12.75" customHeight="1" x14ac:dyDescent="0.2">
      <c r="W766" s="19"/>
      <c r="X766" s="18" t="str">
        <f t="shared" si="11"/>
        <v/>
      </c>
      <c r="Y766" s="19"/>
    </row>
    <row r="767" spans="23:25" ht="12.75" customHeight="1" x14ac:dyDescent="0.2">
      <c r="W767" s="19"/>
      <c r="X767" s="18" t="str">
        <f t="shared" si="11"/>
        <v/>
      </c>
      <c r="Y767" s="19"/>
    </row>
    <row r="768" spans="23:25" ht="12.75" customHeight="1" x14ac:dyDescent="0.2">
      <c r="W768" s="19"/>
      <c r="X768" s="18" t="str">
        <f t="shared" si="11"/>
        <v/>
      </c>
      <c r="Y768" s="19"/>
    </row>
    <row r="769" spans="23:25" ht="12.75" customHeight="1" x14ac:dyDescent="0.2">
      <c r="W769" s="19"/>
      <c r="X769" s="18" t="str">
        <f t="shared" si="11"/>
        <v/>
      </c>
      <c r="Y769" s="19"/>
    </row>
    <row r="770" spans="23:25" ht="12.75" customHeight="1" x14ac:dyDescent="0.2">
      <c r="W770" s="19"/>
      <c r="X770" s="18" t="str">
        <f t="shared" si="11"/>
        <v/>
      </c>
      <c r="Y770" s="19"/>
    </row>
    <row r="771" spans="23:25" ht="12.75" customHeight="1" x14ac:dyDescent="0.2">
      <c r="W771" s="19"/>
      <c r="X771" s="18" t="str">
        <f t="shared" si="11"/>
        <v/>
      </c>
      <c r="Y771" s="19"/>
    </row>
    <row r="772" spans="23:25" ht="12.75" customHeight="1" x14ac:dyDescent="0.2">
      <c r="W772" s="19"/>
      <c r="X772" s="18" t="str">
        <f t="shared" si="11"/>
        <v/>
      </c>
      <c r="Y772" s="19"/>
    </row>
    <row r="773" spans="23:25" ht="12.75" customHeight="1" x14ac:dyDescent="0.2">
      <c r="W773" s="19"/>
      <c r="X773" s="18" t="str">
        <f t="shared" si="11"/>
        <v/>
      </c>
      <c r="Y773" s="19"/>
    </row>
    <row r="774" spans="23:25" ht="12.75" customHeight="1" x14ac:dyDescent="0.2">
      <c r="W774" s="19"/>
      <c r="X774" s="18" t="str">
        <f t="shared" si="11"/>
        <v/>
      </c>
      <c r="Y774" s="19"/>
    </row>
    <row r="775" spans="23:25" ht="12.75" customHeight="1" x14ac:dyDescent="0.2">
      <c r="W775" s="19"/>
      <c r="X775" s="18" t="str">
        <f t="shared" si="11"/>
        <v/>
      </c>
      <c r="Y775" s="19"/>
    </row>
    <row r="776" spans="23:25" ht="12.75" customHeight="1" x14ac:dyDescent="0.2">
      <c r="W776" s="19"/>
      <c r="X776" s="18" t="str">
        <f t="shared" si="11"/>
        <v/>
      </c>
      <c r="Y776" s="19"/>
    </row>
    <row r="777" spans="23:25" ht="12.75" customHeight="1" x14ac:dyDescent="0.2">
      <c r="W777" s="19"/>
      <c r="X777" s="18" t="str">
        <f t="shared" si="11"/>
        <v/>
      </c>
      <c r="Y777" s="19"/>
    </row>
    <row r="778" spans="23:25" ht="12.75" customHeight="1" x14ac:dyDescent="0.2">
      <c r="W778" s="19"/>
      <c r="X778" s="18" t="str">
        <f t="shared" ref="X778:X841" si="12">IF(D778="0001","3rd Party","")</f>
        <v/>
      </c>
      <c r="Y778" s="19"/>
    </row>
    <row r="779" spans="23:25" ht="12.75" customHeight="1" x14ac:dyDescent="0.2">
      <c r="W779" s="19"/>
      <c r="X779" s="18" t="str">
        <f t="shared" si="12"/>
        <v/>
      </c>
      <c r="Y779" s="19"/>
    </row>
    <row r="780" spans="23:25" ht="12.75" customHeight="1" x14ac:dyDescent="0.2">
      <c r="W780" s="19"/>
      <c r="X780" s="18" t="str">
        <f t="shared" si="12"/>
        <v/>
      </c>
      <c r="Y780" s="19"/>
    </row>
    <row r="781" spans="23:25" ht="12.75" customHeight="1" x14ac:dyDescent="0.2">
      <c r="W781" s="19"/>
      <c r="X781" s="18" t="str">
        <f t="shared" si="12"/>
        <v/>
      </c>
      <c r="Y781" s="19"/>
    </row>
    <row r="782" spans="23:25" ht="12.75" customHeight="1" x14ac:dyDescent="0.2">
      <c r="W782" s="19"/>
      <c r="X782" s="18" t="str">
        <f t="shared" si="12"/>
        <v/>
      </c>
      <c r="Y782" s="19"/>
    </row>
    <row r="783" spans="23:25" ht="12.75" customHeight="1" x14ac:dyDescent="0.2">
      <c r="W783" s="19"/>
      <c r="X783" s="18" t="str">
        <f t="shared" si="12"/>
        <v/>
      </c>
      <c r="Y783" s="19"/>
    </row>
    <row r="784" spans="23:25" ht="12.75" customHeight="1" x14ac:dyDescent="0.2">
      <c r="W784" s="19"/>
      <c r="X784" s="18" t="str">
        <f t="shared" si="12"/>
        <v/>
      </c>
      <c r="Y784" s="19"/>
    </row>
    <row r="785" spans="23:25" ht="12.75" customHeight="1" x14ac:dyDescent="0.2">
      <c r="W785" s="19"/>
      <c r="X785" s="18" t="str">
        <f t="shared" si="12"/>
        <v/>
      </c>
      <c r="Y785" s="19"/>
    </row>
    <row r="786" spans="23:25" ht="12.75" customHeight="1" x14ac:dyDescent="0.2">
      <c r="W786" s="19"/>
      <c r="X786" s="18" t="str">
        <f t="shared" si="12"/>
        <v/>
      </c>
      <c r="Y786" s="19"/>
    </row>
    <row r="787" spans="23:25" ht="12.75" customHeight="1" x14ac:dyDescent="0.2">
      <c r="W787" s="19"/>
      <c r="X787" s="18" t="str">
        <f t="shared" si="12"/>
        <v/>
      </c>
      <c r="Y787" s="19"/>
    </row>
    <row r="788" spans="23:25" ht="12.75" customHeight="1" x14ac:dyDescent="0.2">
      <c r="W788" s="19"/>
      <c r="X788" s="18" t="str">
        <f t="shared" si="12"/>
        <v/>
      </c>
      <c r="Y788" s="19"/>
    </row>
    <row r="789" spans="23:25" ht="12.75" customHeight="1" x14ac:dyDescent="0.2">
      <c r="W789" s="19"/>
      <c r="X789" s="18" t="str">
        <f t="shared" si="12"/>
        <v/>
      </c>
      <c r="Y789" s="19"/>
    </row>
    <row r="790" spans="23:25" ht="12.75" customHeight="1" x14ac:dyDescent="0.2">
      <c r="W790" s="19"/>
      <c r="X790" s="18" t="str">
        <f t="shared" si="12"/>
        <v/>
      </c>
      <c r="Y790" s="19"/>
    </row>
    <row r="791" spans="23:25" ht="12.75" customHeight="1" x14ac:dyDescent="0.2">
      <c r="W791" s="19"/>
      <c r="X791" s="18" t="str">
        <f t="shared" si="12"/>
        <v/>
      </c>
      <c r="Y791" s="19"/>
    </row>
    <row r="792" spans="23:25" ht="12.75" customHeight="1" x14ac:dyDescent="0.2">
      <c r="W792" s="19"/>
      <c r="X792" s="18" t="str">
        <f t="shared" si="12"/>
        <v/>
      </c>
      <c r="Y792" s="19"/>
    </row>
    <row r="793" spans="23:25" ht="12.75" customHeight="1" x14ac:dyDescent="0.2">
      <c r="W793" s="19"/>
      <c r="X793" s="18" t="str">
        <f t="shared" si="12"/>
        <v/>
      </c>
      <c r="Y793" s="19"/>
    </row>
    <row r="794" spans="23:25" ht="12.75" customHeight="1" x14ac:dyDescent="0.2">
      <c r="W794" s="19"/>
      <c r="X794" s="18" t="str">
        <f t="shared" si="12"/>
        <v/>
      </c>
      <c r="Y794" s="19"/>
    </row>
    <row r="795" spans="23:25" ht="12.75" customHeight="1" x14ac:dyDescent="0.2">
      <c r="W795" s="19"/>
      <c r="X795" s="18" t="str">
        <f t="shared" si="12"/>
        <v/>
      </c>
      <c r="Y795" s="19"/>
    </row>
    <row r="796" spans="23:25" ht="12.75" customHeight="1" x14ac:dyDescent="0.2">
      <c r="W796" s="19"/>
      <c r="X796" s="18" t="str">
        <f t="shared" si="12"/>
        <v/>
      </c>
      <c r="Y796" s="19"/>
    </row>
    <row r="797" spans="23:25" ht="12.75" customHeight="1" x14ac:dyDescent="0.2">
      <c r="W797" s="19"/>
      <c r="X797" s="18" t="str">
        <f t="shared" si="12"/>
        <v/>
      </c>
      <c r="Y797" s="19"/>
    </row>
    <row r="798" spans="23:25" ht="12.75" customHeight="1" x14ac:dyDescent="0.2">
      <c r="W798" s="19"/>
      <c r="X798" s="18" t="str">
        <f t="shared" si="12"/>
        <v/>
      </c>
      <c r="Y798" s="19"/>
    </row>
    <row r="799" spans="23:25" ht="12.75" customHeight="1" x14ac:dyDescent="0.2">
      <c r="W799" s="19"/>
      <c r="X799" s="18" t="str">
        <f t="shared" si="12"/>
        <v/>
      </c>
      <c r="Y799" s="19"/>
    </row>
    <row r="800" spans="23:25" ht="12.75" customHeight="1" x14ac:dyDescent="0.2">
      <c r="W800" s="19"/>
      <c r="X800" s="18" t="str">
        <f t="shared" si="12"/>
        <v/>
      </c>
      <c r="Y800" s="19"/>
    </row>
    <row r="801" spans="23:25" ht="12.75" customHeight="1" x14ac:dyDescent="0.2">
      <c r="W801" s="19"/>
      <c r="X801" s="18" t="str">
        <f t="shared" si="12"/>
        <v/>
      </c>
      <c r="Y801" s="19"/>
    </row>
    <row r="802" spans="23:25" ht="12.75" customHeight="1" x14ac:dyDescent="0.2">
      <c r="W802" s="19"/>
      <c r="X802" s="18" t="str">
        <f t="shared" si="12"/>
        <v/>
      </c>
      <c r="Y802" s="19"/>
    </row>
    <row r="803" spans="23:25" ht="12.75" customHeight="1" x14ac:dyDescent="0.2">
      <c r="W803" s="19"/>
      <c r="X803" s="18" t="str">
        <f t="shared" si="12"/>
        <v/>
      </c>
      <c r="Y803" s="19"/>
    </row>
    <row r="804" spans="23:25" ht="12.75" customHeight="1" x14ac:dyDescent="0.2">
      <c r="W804" s="19"/>
      <c r="X804" s="18" t="str">
        <f t="shared" si="12"/>
        <v/>
      </c>
      <c r="Y804" s="19"/>
    </row>
    <row r="805" spans="23:25" ht="12.75" customHeight="1" x14ac:dyDescent="0.2">
      <c r="W805" s="19"/>
      <c r="X805" s="18" t="str">
        <f t="shared" si="12"/>
        <v/>
      </c>
      <c r="Y805" s="19"/>
    </row>
    <row r="806" spans="23:25" ht="12.75" customHeight="1" x14ac:dyDescent="0.2">
      <c r="W806" s="19"/>
      <c r="X806" s="18" t="str">
        <f t="shared" si="12"/>
        <v/>
      </c>
      <c r="Y806" s="19"/>
    </row>
    <row r="807" spans="23:25" ht="12.75" customHeight="1" x14ac:dyDescent="0.2">
      <c r="W807" s="19"/>
      <c r="X807" s="18" t="str">
        <f t="shared" si="12"/>
        <v/>
      </c>
      <c r="Y807" s="19"/>
    </row>
    <row r="808" spans="23:25" ht="12.75" customHeight="1" x14ac:dyDescent="0.2">
      <c r="W808" s="19"/>
      <c r="X808" s="18" t="str">
        <f t="shared" si="12"/>
        <v/>
      </c>
      <c r="Y808" s="19"/>
    </row>
    <row r="809" spans="23:25" ht="12.75" customHeight="1" x14ac:dyDescent="0.2">
      <c r="W809" s="19"/>
      <c r="X809" s="18" t="str">
        <f t="shared" si="12"/>
        <v/>
      </c>
      <c r="Y809" s="19"/>
    </row>
    <row r="810" spans="23:25" ht="12.75" customHeight="1" x14ac:dyDescent="0.2">
      <c r="W810" s="19"/>
      <c r="X810" s="18" t="str">
        <f t="shared" si="12"/>
        <v/>
      </c>
      <c r="Y810" s="19"/>
    </row>
    <row r="811" spans="23:25" ht="12.75" customHeight="1" x14ac:dyDescent="0.2">
      <c r="W811" s="19"/>
      <c r="X811" s="18" t="str">
        <f t="shared" si="12"/>
        <v/>
      </c>
      <c r="Y811" s="19"/>
    </row>
    <row r="812" spans="23:25" ht="12.75" customHeight="1" x14ac:dyDescent="0.2">
      <c r="W812" s="19"/>
      <c r="X812" s="18" t="str">
        <f t="shared" si="12"/>
        <v/>
      </c>
      <c r="Y812" s="19"/>
    </row>
    <row r="813" spans="23:25" ht="12.75" customHeight="1" x14ac:dyDescent="0.2">
      <c r="W813" s="19"/>
      <c r="X813" s="18" t="str">
        <f t="shared" si="12"/>
        <v/>
      </c>
      <c r="Y813" s="19"/>
    </row>
    <row r="814" spans="23:25" ht="12.75" customHeight="1" x14ac:dyDescent="0.2">
      <c r="W814" s="19"/>
      <c r="X814" s="18" t="str">
        <f t="shared" si="12"/>
        <v/>
      </c>
      <c r="Y814" s="19"/>
    </row>
    <row r="815" spans="23:25" ht="12.75" customHeight="1" x14ac:dyDescent="0.2">
      <c r="W815" s="19"/>
      <c r="X815" s="18" t="str">
        <f t="shared" si="12"/>
        <v/>
      </c>
      <c r="Y815" s="19"/>
    </row>
    <row r="816" spans="23:25" ht="12.75" customHeight="1" x14ac:dyDescent="0.2">
      <c r="W816" s="19"/>
      <c r="X816" s="18" t="str">
        <f t="shared" si="12"/>
        <v/>
      </c>
      <c r="Y816" s="19"/>
    </row>
    <row r="817" spans="23:25" ht="12.75" customHeight="1" x14ac:dyDescent="0.2">
      <c r="W817" s="19"/>
      <c r="X817" s="18" t="str">
        <f t="shared" si="12"/>
        <v/>
      </c>
      <c r="Y817" s="19"/>
    </row>
    <row r="818" spans="23:25" ht="12.75" customHeight="1" x14ac:dyDescent="0.2">
      <c r="W818" s="19"/>
      <c r="X818" s="18" t="str">
        <f t="shared" si="12"/>
        <v/>
      </c>
      <c r="Y818" s="19"/>
    </row>
    <row r="819" spans="23:25" ht="12.75" customHeight="1" x14ac:dyDescent="0.2">
      <c r="W819" s="19"/>
      <c r="X819" s="18" t="str">
        <f t="shared" si="12"/>
        <v/>
      </c>
      <c r="Y819" s="19"/>
    </row>
    <row r="820" spans="23:25" ht="12.75" customHeight="1" x14ac:dyDescent="0.2">
      <c r="W820" s="19"/>
      <c r="X820" s="18" t="str">
        <f t="shared" si="12"/>
        <v/>
      </c>
      <c r="Y820" s="19"/>
    </row>
    <row r="821" spans="23:25" ht="12.75" customHeight="1" x14ac:dyDescent="0.2">
      <c r="W821" s="19"/>
      <c r="X821" s="18" t="str">
        <f t="shared" si="12"/>
        <v/>
      </c>
      <c r="Y821" s="19"/>
    </row>
    <row r="822" spans="23:25" ht="12.75" customHeight="1" x14ac:dyDescent="0.2">
      <c r="W822" s="19"/>
      <c r="X822" s="18" t="str">
        <f t="shared" si="12"/>
        <v/>
      </c>
      <c r="Y822" s="19"/>
    </row>
    <row r="823" spans="23:25" ht="12.75" customHeight="1" x14ac:dyDescent="0.2">
      <c r="W823" s="19"/>
      <c r="X823" s="18" t="str">
        <f t="shared" si="12"/>
        <v/>
      </c>
      <c r="Y823" s="19"/>
    </row>
    <row r="824" spans="23:25" ht="12.75" customHeight="1" x14ac:dyDescent="0.2">
      <c r="W824" s="19"/>
      <c r="X824" s="18" t="str">
        <f t="shared" si="12"/>
        <v/>
      </c>
      <c r="Y824" s="19"/>
    </row>
    <row r="825" spans="23:25" ht="12.75" customHeight="1" x14ac:dyDescent="0.2">
      <c r="W825" s="19"/>
      <c r="X825" s="18" t="str">
        <f t="shared" si="12"/>
        <v/>
      </c>
      <c r="Y825" s="19"/>
    </row>
    <row r="826" spans="23:25" ht="12.75" customHeight="1" x14ac:dyDescent="0.2">
      <c r="W826" s="19"/>
      <c r="X826" s="18" t="str">
        <f t="shared" si="12"/>
        <v/>
      </c>
      <c r="Y826" s="19"/>
    </row>
    <row r="827" spans="23:25" ht="12.75" customHeight="1" x14ac:dyDescent="0.2">
      <c r="W827" s="19"/>
      <c r="X827" s="18" t="str">
        <f t="shared" si="12"/>
        <v/>
      </c>
      <c r="Y827" s="19"/>
    </row>
    <row r="828" spans="23:25" ht="12.75" customHeight="1" x14ac:dyDescent="0.2">
      <c r="W828" s="19"/>
      <c r="X828" s="18" t="str">
        <f t="shared" si="12"/>
        <v/>
      </c>
      <c r="Y828" s="19"/>
    </row>
    <row r="829" spans="23:25" ht="12.75" customHeight="1" x14ac:dyDescent="0.2">
      <c r="W829" s="19"/>
      <c r="X829" s="18" t="str">
        <f t="shared" si="12"/>
        <v/>
      </c>
      <c r="Y829" s="19"/>
    </row>
    <row r="830" spans="23:25" ht="12.75" customHeight="1" x14ac:dyDescent="0.2">
      <c r="W830" s="19"/>
      <c r="X830" s="18" t="str">
        <f t="shared" si="12"/>
        <v/>
      </c>
      <c r="Y830" s="19"/>
    </row>
    <row r="831" spans="23:25" ht="12.75" customHeight="1" x14ac:dyDescent="0.2">
      <c r="W831" s="19"/>
      <c r="X831" s="18" t="str">
        <f t="shared" si="12"/>
        <v/>
      </c>
      <c r="Y831" s="19"/>
    </row>
    <row r="832" spans="23:25" ht="12.75" customHeight="1" x14ac:dyDescent="0.2">
      <c r="W832" s="19"/>
      <c r="X832" s="18" t="str">
        <f t="shared" si="12"/>
        <v/>
      </c>
      <c r="Y832" s="19"/>
    </row>
    <row r="833" spans="23:25" ht="12.75" customHeight="1" x14ac:dyDescent="0.2">
      <c r="W833" s="19"/>
      <c r="X833" s="18" t="str">
        <f t="shared" si="12"/>
        <v/>
      </c>
      <c r="Y833" s="19"/>
    </row>
    <row r="834" spans="23:25" ht="12.75" customHeight="1" x14ac:dyDescent="0.2">
      <c r="W834" s="19"/>
      <c r="X834" s="18" t="str">
        <f t="shared" si="12"/>
        <v/>
      </c>
      <c r="Y834" s="19"/>
    </row>
    <row r="835" spans="23:25" ht="12.75" customHeight="1" x14ac:dyDescent="0.2">
      <c r="W835" s="19"/>
      <c r="X835" s="18" t="str">
        <f t="shared" si="12"/>
        <v/>
      </c>
      <c r="Y835" s="19"/>
    </row>
    <row r="836" spans="23:25" ht="12.75" customHeight="1" x14ac:dyDescent="0.2">
      <c r="W836" s="19"/>
      <c r="X836" s="18" t="str">
        <f t="shared" si="12"/>
        <v/>
      </c>
      <c r="Y836" s="19"/>
    </row>
    <row r="837" spans="23:25" ht="12.75" customHeight="1" x14ac:dyDescent="0.2">
      <c r="W837" s="19"/>
      <c r="X837" s="18" t="str">
        <f t="shared" si="12"/>
        <v/>
      </c>
      <c r="Y837" s="19"/>
    </row>
    <row r="838" spans="23:25" ht="12.75" customHeight="1" x14ac:dyDescent="0.2">
      <c r="W838" s="19"/>
      <c r="X838" s="18" t="str">
        <f t="shared" si="12"/>
        <v/>
      </c>
      <c r="Y838" s="19"/>
    </row>
    <row r="839" spans="23:25" ht="12.75" customHeight="1" x14ac:dyDescent="0.2">
      <c r="W839" s="19"/>
      <c r="X839" s="18" t="str">
        <f t="shared" si="12"/>
        <v/>
      </c>
      <c r="Y839" s="19"/>
    </row>
    <row r="840" spans="23:25" ht="12.75" customHeight="1" x14ac:dyDescent="0.2">
      <c r="W840" s="19"/>
      <c r="X840" s="18" t="str">
        <f t="shared" si="12"/>
        <v/>
      </c>
      <c r="Y840" s="19"/>
    </row>
    <row r="841" spans="23:25" ht="12.75" customHeight="1" x14ac:dyDescent="0.2">
      <c r="W841" s="19"/>
      <c r="X841" s="18" t="str">
        <f t="shared" si="12"/>
        <v/>
      </c>
      <c r="Y841" s="19"/>
    </row>
    <row r="842" spans="23:25" ht="12.75" customHeight="1" x14ac:dyDescent="0.2">
      <c r="W842" s="19"/>
      <c r="X842" s="18" t="str">
        <f t="shared" ref="X842:X905" si="13">IF(D842="0001","3rd Party","")</f>
        <v/>
      </c>
      <c r="Y842" s="19"/>
    </row>
    <row r="843" spans="23:25" ht="12.75" customHeight="1" x14ac:dyDescent="0.2">
      <c r="W843" s="19"/>
      <c r="X843" s="18" t="str">
        <f t="shared" si="13"/>
        <v/>
      </c>
      <c r="Y843" s="19"/>
    </row>
    <row r="844" spans="23:25" ht="12.75" customHeight="1" x14ac:dyDescent="0.2">
      <c r="W844" s="19"/>
      <c r="X844" s="18" t="str">
        <f t="shared" si="13"/>
        <v/>
      </c>
      <c r="Y844" s="19"/>
    </row>
    <row r="845" spans="23:25" ht="12.75" customHeight="1" x14ac:dyDescent="0.2">
      <c r="W845" s="19"/>
      <c r="X845" s="18" t="str">
        <f t="shared" si="13"/>
        <v/>
      </c>
      <c r="Y845" s="19"/>
    </row>
    <row r="846" spans="23:25" ht="12.75" customHeight="1" x14ac:dyDescent="0.2">
      <c r="W846" s="19"/>
      <c r="X846" s="18" t="str">
        <f t="shared" si="13"/>
        <v/>
      </c>
      <c r="Y846" s="19"/>
    </row>
    <row r="847" spans="23:25" ht="12.75" customHeight="1" x14ac:dyDescent="0.2">
      <c r="W847" s="19"/>
      <c r="X847" s="18" t="str">
        <f t="shared" si="13"/>
        <v/>
      </c>
      <c r="Y847" s="19"/>
    </row>
    <row r="848" spans="23:25" ht="12.75" customHeight="1" x14ac:dyDescent="0.2">
      <c r="W848" s="19"/>
      <c r="X848" s="18" t="str">
        <f t="shared" si="13"/>
        <v/>
      </c>
      <c r="Y848" s="19"/>
    </row>
    <row r="849" spans="23:25" ht="12.75" customHeight="1" x14ac:dyDescent="0.2">
      <c r="W849" s="19"/>
      <c r="X849" s="18" t="str">
        <f t="shared" si="13"/>
        <v/>
      </c>
      <c r="Y849" s="19"/>
    </row>
    <row r="850" spans="23:25" ht="12.75" customHeight="1" x14ac:dyDescent="0.2">
      <c r="W850" s="19"/>
      <c r="X850" s="18" t="str">
        <f t="shared" si="13"/>
        <v/>
      </c>
      <c r="Y850" s="19"/>
    </row>
    <row r="851" spans="23:25" ht="12.75" customHeight="1" x14ac:dyDescent="0.2">
      <c r="W851" s="19"/>
      <c r="X851" s="18" t="str">
        <f t="shared" si="13"/>
        <v/>
      </c>
      <c r="Y851" s="19"/>
    </row>
    <row r="852" spans="23:25" ht="12.75" customHeight="1" x14ac:dyDescent="0.2">
      <c r="W852" s="19"/>
      <c r="X852" s="18" t="str">
        <f t="shared" si="13"/>
        <v/>
      </c>
      <c r="Y852" s="19"/>
    </row>
    <row r="853" spans="23:25" ht="12.75" customHeight="1" x14ac:dyDescent="0.2">
      <c r="W853" s="19"/>
      <c r="X853" s="18" t="str">
        <f t="shared" si="13"/>
        <v/>
      </c>
      <c r="Y853" s="19"/>
    </row>
    <row r="854" spans="23:25" ht="12.75" customHeight="1" x14ac:dyDescent="0.2">
      <c r="W854" s="19"/>
      <c r="X854" s="18" t="str">
        <f t="shared" si="13"/>
        <v/>
      </c>
      <c r="Y854" s="19"/>
    </row>
    <row r="855" spans="23:25" ht="12.75" customHeight="1" x14ac:dyDescent="0.2">
      <c r="W855" s="19"/>
      <c r="X855" s="18" t="str">
        <f t="shared" si="13"/>
        <v/>
      </c>
      <c r="Y855" s="19"/>
    </row>
    <row r="856" spans="23:25" ht="12.75" customHeight="1" x14ac:dyDescent="0.2">
      <c r="W856" s="19"/>
      <c r="X856" s="18" t="str">
        <f t="shared" si="13"/>
        <v/>
      </c>
      <c r="Y856" s="19"/>
    </row>
    <row r="857" spans="23:25" ht="12.75" customHeight="1" x14ac:dyDescent="0.2">
      <c r="W857" s="19"/>
      <c r="X857" s="18" t="str">
        <f t="shared" si="13"/>
        <v/>
      </c>
      <c r="Y857" s="19"/>
    </row>
    <row r="858" spans="23:25" ht="12.75" customHeight="1" x14ac:dyDescent="0.2">
      <c r="W858" s="19"/>
      <c r="X858" s="18" t="str">
        <f t="shared" si="13"/>
        <v/>
      </c>
      <c r="Y858" s="19"/>
    </row>
    <row r="859" spans="23:25" ht="12.75" customHeight="1" x14ac:dyDescent="0.2">
      <c r="W859" s="19"/>
      <c r="X859" s="18" t="str">
        <f t="shared" si="13"/>
        <v/>
      </c>
      <c r="Y859" s="19"/>
    </row>
    <row r="860" spans="23:25" ht="12.75" customHeight="1" x14ac:dyDescent="0.2">
      <c r="W860" s="19"/>
      <c r="X860" s="18" t="str">
        <f t="shared" si="13"/>
        <v/>
      </c>
      <c r="Y860" s="19"/>
    </row>
    <row r="861" spans="23:25" ht="12.75" customHeight="1" x14ac:dyDescent="0.2">
      <c r="W861" s="19"/>
      <c r="X861" s="18" t="str">
        <f t="shared" si="13"/>
        <v/>
      </c>
      <c r="Y861" s="19"/>
    </row>
    <row r="862" spans="23:25" ht="12.75" customHeight="1" x14ac:dyDescent="0.2">
      <c r="W862" s="19"/>
      <c r="X862" s="18" t="str">
        <f t="shared" si="13"/>
        <v/>
      </c>
      <c r="Y862" s="19"/>
    </row>
    <row r="863" spans="23:25" ht="12.75" customHeight="1" x14ac:dyDescent="0.2">
      <c r="W863" s="19"/>
      <c r="X863" s="18" t="str">
        <f t="shared" si="13"/>
        <v/>
      </c>
      <c r="Y863" s="19"/>
    </row>
    <row r="864" spans="23:25" ht="12.75" customHeight="1" x14ac:dyDescent="0.2">
      <c r="W864" s="19"/>
      <c r="X864" s="18" t="str">
        <f t="shared" si="13"/>
        <v/>
      </c>
      <c r="Y864" s="19"/>
    </row>
    <row r="865" spans="23:25" ht="12.75" customHeight="1" x14ac:dyDescent="0.2">
      <c r="W865" s="19"/>
      <c r="X865" s="18" t="str">
        <f t="shared" si="13"/>
        <v/>
      </c>
      <c r="Y865" s="19"/>
    </row>
    <row r="866" spans="23:25" ht="12.75" customHeight="1" x14ac:dyDescent="0.2">
      <c r="W866" s="19"/>
      <c r="X866" s="18" t="str">
        <f t="shared" si="13"/>
        <v/>
      </c>
      <c r="Y866" s="19"/>
    </row>
    <row r="867" spans="23:25" ht="12.75" customHeight="1" x14ac:dyDescent="0.2">
      <c r="W867" s="19"/>
      <c r="X867" s="18" t="str">
        <f t="shared" si="13"/>
        <v/>
      </c>
      <c r="Y867" s="19"/>
    </row>
    <row r="868" spans="23:25" ht="12.75" customHeight="1" x14ac:dyDescent="0.2">
      <c r="W868" s="19"/>
      <c r="X868" s="18" t="str">
        <f t="shared" si="13"/>
        <v/>
      </c>
      <c r="Y868" s="19"/>
    </row>
    <row r="869" spans="23:25" ht="12.75" customHeight="1" x14ac:dyDescent="0.2">
      <c r="W869" s="19"/>
      <c r="X869" s="18" t="str">
        <f t="shared" si="13"/>
        <v/>
      </c>
      <c r="Y869" s="19"/>
    </row>
    <row r="870" spans="23:25" ht="12.75" customHeight="1" x14ac:dyDescent="0.2">
      <c r="W870" s="19"/>
      <c r="X870" s="18" t="str">
        <f t="shared" si="13"/>
        <v/>
      </c>
      <c r="Y870" s="19"/>
    </row>
    <row r="871" spans="23:25" ht="12.75" customHeight="1" x14ac:dyDescent="0.2">
      <c r="W871" s="19"/>
      <c r="X871" s="18" t="str">
        <f t="shared" si="13"/>
        <v/>
      </c>
      <c r="Y871" s="19"/>
    </row>
    <row r="872" spans="23:25" ht="12.75" customHeight="1" x14ac:dyDescent="0.2">
      <c r="W872" s="19"/>
      <c r="X872" s="18" t="str">
        <f t="shared" si="13"/>
        <v/>
      </c>
      <c r="Y872" s="19"/>
    </row>
    <row r="873" spans="23:25" ht="12.75" customHeight="1" x14ac:dyDescent="0.2">
      <c r="W873" s="19"/>
      <c r="X873" s="18" t="str">
        <f t="shared" si="13"/>
        <v/>
      </c>
      <c r="Y873" s="19"/>
    </row>
    <row r="874" spans="23:25" ht="12.75" customHeight="1" x14ac:dyDescent="0.2">
      <c r="W874" s="19"/>
      <c r="X874" s="18" t="str">
        <f t="shared" si="13"/>
        <v/>
      </c>
      <c r="Y874" s="19"/>
    </row>
    <row r="875" spans="23:25" ht="12.75" customHeight="1" x14ac:dyDescent="0.2">
      <c r="W875" s="19"/>
      <c r="X875" s="18" t="str">
        <f t="shared" si="13"/>
        <v/>
      </c>
      <c r="Y875" s="19"/>
    </row>
    <row r="876" spans="23:25" ht="12.75" customHeight="1" x14ac:dyDescent="0.2">
      <c r="W876" s="19"/>
      <c r="X876" s="18" t="str">
        <f t="shared" si="13"/>
        <v/>
      </c>
      <c r="Y876" s="19"/>
    </row>
    <row r="877" spans="23:25" ht="12.75" customHeight="1" x14ac:dyDescent="0.2">
      <c r="W877" s="19"/>
      <c r="X877" s="18" t="str">
        <f t="shared" si="13"/>
        <v/>
      </c>
      <c r="Y877" s="19"/>
    </row>
    <row r="878" spans="23:25" ht="12.75" customHeight="1" x14ac:dyDescent="0.2">
      <c r="W878" s="19"/>
      <c r="X878" s="18" t="str">
        <f t="shared" si="13"/>
        <v/>
      </c>
      <c r="Y878" s="19"/>
    </row>
    <row r="879" spans="23:25" ht="12.75" customHeight="1" x14ac:dyDescent="0.2">
      <c r="W879" s="19"/>
      <c r="X879" s="18" t="str">
        <f t="shared" si="13"/>
        <v/>
      </c>
      <c r="Y879" s="19"/>
    </row>
    <row r="880" spans="23:25" ht="12.75" customHeight="1" x14ac:dyDescent="0.2">
      <c r="W880" s="19"/>
      <c r="X880" s="18" t="str">
        <f t="shared" si="13"/>
        <v/>
      </c>
      <c r="Y880" s="19"/>
    </row>
    <row r="881" spans="23:25" ht="12.75" customHeight="1" x14ac:dyDescent="0.2">
      <c r="W881" s="19"/>
      <c r="X881" s="18" t="str">
        <f t="shared" si="13"/>
        <v/>
      </c>
      <c r="Y881" s="19"/>
    </row>
    <row r="882" spans="23:25" ht="12.75" customHeight="1" x14ac:dyDescent="0.2">
      <c r="W882" s="19"/>
      <c r="X882" s="18" t="str">
        <f t="shared" si="13"/>
        <v/>
      </c>
      <c r="Y882" s="19"/>
    </row>
    <row r="883" spans="23:25" ht="12.75" customHeight="1" x14ac:dyDescent="0.2">
      <c r="W883" s="19"/>
      <c r="X883" s="18" t="str">
        <f t="shared" si="13"/>
        <v/>
      </c>
      <c r="Y883" s="19"/>
    </row>
    <row r="884" spans="23:25" ht="12.75" customHeight="1" x14ac:dyDescent="0.2">
      <c r="W884" s="19"/>
      <c r="X884" s="18" t="str">
        <f t="shared" si="13"/>
        <v/>
      </c>
      <c r="Y884" s="19"/>
    </row>
    <row r="885" spans="23:25" ht="12.75" customHeight="1" x14ac:dyDescent="0.2">
      <c r="W885" s="19"/>
      <c r="X885" s="18" t="str">
        <f t="shared" si="13"/>
        <v/>
      </c>
      <c r="Y885" s="19"/>
    </row>
    <row r="886" spans="23:25" ht="12.75" customHeight="1" x14ac:dyDescent="0.2">
      <c r="W886" s="19"/>
      <c r="X886" s="18" t="str">
        <f t="shared" si="13"/>
        <v/>
      </c>
      <c r="Y886" s="19"/>
    </row>
    <row r="887" spans="23:25" ht="12.75" customHeight="1" x14ac:dyDescent="0.2">
      <c r="W887" s="19"/>
      <c r="X887" s="18" t="str">
        <f t="shared" si="13"/>
        <v/>
      </c>
      <c r="Y887" s="19"/>
    </row>
    <row r="888" spans="23:25" ht="12.75" customHeight="1" x14ac:dyDescent="0.2">
      <c r="W888" s="19"/>
      <c r="X888" s="18" t="str">
        <f t="shared" si="13"/>
        <v/>
      </c>
      <c r="Y888" s="19"/>
    </row>
    <row r="889" spans="23:25" ht="12.75" customHeight="1" x14ac:dyDescent="0.2">
      <c r="W889" s="19"/>
      <c r="X889" s="18" t="str">
        <f t="shared" si="13"/>
        <v/>
      </c>
      <c r="Y889" s="19"/>
    </row>
    <row r="890" spans="23:25" ht="12.75" customHeight="1" x14ac:dyDescent="0.2">
      <c r="W890" s="19"/>
      <c r="X890" s="18" t="str">
        <f t="shared" si="13"/>
        <v/>
      </c>
      <c r="Y890" s="19"/>
    </row>
    <row r="891" spans="23:25" ht="12.75" customHeight="1" x14ac:dyDescent="0.2">
      <c r="W891" s="19"/>
      <c r="X891" s="18" t="str">
        <f t="shared" si="13"/>
        <v/>
      </c>
      <c r="Y891" s="19"/>
    </row>
    <row r="892" spans="23:25" ht="12.75" customHeight="1" x14ac:dyDescent="0.2">
      <c r="W892" s="19"/>
      <c r="X892" s="18" t="str">
        <f t="shared" si="13"/>
        <v/>
      </c>
      <c r="Y892" s="19"/>
    </row>
    <row r="893" spans="23:25" ht="12.75" customHeight="1" x14ac:dyDescent="0.2">
      <c r="W893" s="19"/>
      <c r="X893" s="18" t="str">
        <f t="shared" si="13"/>
        <v/>
      </c>
      <c r="Y893" s="19"/>
    </row>
    <row r="894" spans="23:25" ht="12.75" customHeight="1" x14ac:dyDescent="0.2">
      <c r="W894" s="19"/>
      <c r="X894" s="18" t="str">
        <f t="shared" si="13"/>
        <v/>
      </c>
      <c r="Y894" s="19"/>
    </row>
    <row r="895" spans="23:25" ht="12.75" customHeight="1" x14ac:dyDescent="0.2">
      <c r="W895" s="19"/>
      <c r="X895" s="18" t="str">
        <f t="shared" si="13"/>
        <v/>
      </c>
      <c r="Y895" s="19"/>
    </row>
    <row r="896" spans="23:25" ht="12.75" customHeight="1" x14ac:dyDescent="0.2">
      <c r="W896" s="19"/>
      <c r="X896" s="18" t="str">
        <f t="shared" si="13"/>
        <v/>
      </c>
      <c r="Y896" s="19"/>
    </row>
    <row r="897" spans="23:25" ht="12.75" customHeight="1" x14ac:dyDescent="0.2">
      <c r="W897" s="19"/>
      <c r="X897" s="18" t="str">
        <f t="shared" si="13"/>
        <v/>
      </c>
      <c r="Y897" s="19"/>
    </row>
    <row r="898" spans="23:25" ht="12.75" customHeight="1" x14ac:dyDescent="0.2">
      <c r="W898" s="19"/>
      <c r="X898" s="18" t="str">
        <f t="shared" si="13"/>
        <v/>
      </c>
      <c r="Y898" s="19"/>
    </row>
    <row r="899" spans="23:25" ht="12.75" customHeight="1" x14ac:dyDescent="0.2">
      <c r="W899" s="19"/>
      <c r="X899" s="18" t="str">
        <f t="shared" si="13"/>
        <v/>
      </c>
      <c r="Y899" s="19"/>
    </row>
    <row r="900" spans="23:25" ht="12.75" customHeight="1" x14ac:dyDescent="0.2">
      <c r="W900" s="19"/>
      <c r="X900" s="18" t="str">
        <f t="shared" si="13"/>
        <v/>
      </c>
      <c r="Y900" s="19"/>
    </row>
    <row r="901" spans="23:25" ht="12.75" customHeight="1" x14ac:dyDescent="0.2">
      <c r="W901" s="19"/>
      <c r="X901" s="18" t="str">
        <f t="shared" si="13"/>
        <v/>
      </c>
      <c r="Y901" s="19"/>
    </row>
    <row r="902" spans="23:25" ht="12.75" customHeight="1" x14ac:dyDescent="0.2">
      <c r="W902" s="19"/>
      <c r="X902" s="18" t="str">
        <f t="shared" si="13"/>
        <v/>
      </c>
      <c r="Y902" s="19"/>
    </row>
    <row r="903" spans="23:25" ht="12.75" customHeight="1" x14ac:dyDescent="0.2">
      <c r="W903" s="19"/>
      <c r="X903" s="18" t="str">
        <f t="shared" si="13"/>
        <v/>
      </c>
      <c r="Y903" s="19"/>
    </row>
    <row r="904" spans="23:25" ht="12.75" customHeight="1" x14ac:dyDescent="0.2">
      <c r="W904" s="19"/>
      <c r="X904" s="18" t="str">
        <f t="shared" si="13"/>
        <v/>
      </c>
      <c r="Y904" s="19"/>
    </row>
    <row r="905" spans="23:25" ht="12.75" customHeight="1" x14ac:dyDescent="0.2">
      <c r="W905" s="19"/>
      <c r="X905" s="18" t="str">
        <f t="shared" si="13"/>
        <v/>
      </c>
      <c r="Y905" s="19"/>
    </row>
    <row r="906" spans="23:25" ht="12.75" customHeight="1" x14ac:dyDescent="0.2">
      <c r="W906" s="19"/>
      <c r="X906" s="18" t="str">
        <f t="shared" ref="X906:X969" si="14">IF(D906="0001","3rd Party","")</f>
        <v/>
      </c>
      <c r="Y906" s="19"/>
    </row>
    <row r="907" spans="23:25" ht="12.75" customHeight="1" x14ac:dyDescent="0.2">
      <c r="W907" s="19"/>
      <c r="X907" s="18" t="str">
        <f t="shared" si="14"/>
        <v/>
      </c>
      <c r="Y907" s="19"/>
    </row>
    <row r="908" spans="23:25" ht="12.75" customHeight="1" x14ac:dyDescent="0.2">
      <c r="W908" s="19"/>
      <c r="X908" s="18" t="str">
        <f t="shared" si="14"/>
        <v/>
      </c>
      <c r="Y908" s="19"/>
    </row>
    <row r="909" spans="23:25" ht="12.75" customHeight="1" x14ac:dyDescent="0.2">
      <c r="W909" s="19"/>
      <c r="X909" s="18" t="str">
        <f t="shared" si="14"/>
        <v/>
      </c>
      <c r="Y909" s="19"/>
    </row>
    <row r="910" spans="23:25" ht="12.75" customHeight="1" x14ac:dyDescent="0.2">
      <c r="W910" s="19"/>
      <c r="X910" s="18" t="str">
        <f t="shared" si="14"/>
        <v/>
      </c>
      <c r="Y910" s="19"/>
    </row>
    <row r="911" spans="23:25" ht="12.75" customHeight="1" x14ac:dyDescent="0.2">
      <c r="W911" s="19"/>
      <c r="X911" s="18" t="str">
        <f t="shared" si="14"/>
        <v/>
      </c>
      <c r="Y911" s="19"/>
    </row>
    <row r="912" spans="23:25" ht="12.75" customHeight="1" x14ac:dyDescent="0.2">
      <c r="W912" s="19"/>
      <c r="X912" s="18" t="str">
        <f t="shared" si="14"/>
        <v/>
      </c>
      <c r="Y912" s="19"/>
    </row>
    <row r="913" spans="23:25" ht="12.75" customHeight="1" x14ac:dyDescent="0.2">
      <c r="W913" s="19"/>
      <c r="X913" s="18" t="str">
        <f t="shared" si="14"/>
        <v/>
      </c>
      <c r="Y913" s="19"/>
    </row>
    <row r="914" spans="23:25" ht="12.75" customHeight="1" x14ac:dyDescent="0.2">
      <c r="W914" s="19"/>
      <c r="X914" s="18" t="str">
        <f t="shared" si="14"/>
        <v/>
      </c>
      <c r="Y914" s="19"/>
    </row>
    <row r="915" spans="23:25" ht="12.75" customHeight="1" x14ac:dyDescent="0.2">
      <c r="W915" s="19"/>
      <c r="X915" s="18" t="str">
        <f t="shared" si="14"/>
        <v/>
      </c>
      <c r="Y915" s="19"/>
    </row>
    <row r="916" spans="23:25" ht="12.75" customHeight="1" x14ac:dyDescent="0.2">
      <c r="W916" s="19"/>
      <c r="X916" s="18" t="str">
        <f t="shared" si="14"/>
        <v/>
      </c>
      <c r="Y916" s="19"/>
    </row>
    <row r="917" spans="23:25" ht="12.75" customHeight="1" x14ac:dyDescent="0.2">
      <c r="W917" s="19"/>
      <c r="X917" s="18" t="str">
        <f t="shared" si="14"/>
        <v/>
      </c>
      <c r="Y917" s="19"/>
    </row>
    <row r="918" spans="23:25" ht="12.75" customHeight="1" x14ac:dyDescent="0.2">
      <c r="W918" s="19"/>
      <c r="X918" s="18" t="str">
        <f t="shared" si="14"/>
        <v/>
      </c>
      <c r="Y918" s="19"/>
    </row>
    <row r="919" spans="23:25" ht="12.75" customHeight="1" x14ac:dyDescent="0.2">
      <c r="W919" s="19"/>
      <c r="X919" s="18" t="str">
        <f t="shared" si="14"/>
        <v/>
      </c>
      <c r="Y919" s="19"/>
    </row>
    <row r="920" spans="23:25" ht="12.75" customHeight="1" x14ac:dyDescent="0.2">
      <c r="W920" s="19"/>
      <c r="X920" s="18" t="str">
        <f t="shared" si="14"/>
        <v/>
      </c>
      <c r="Y920" s="19"/>
    </row>
    <row r="921" spans="23:25" ht="12.75" customHeight="1" x14ac:dyDescent="0.2">
      <c r="W921" s="19"/>
      <c r="X921" s="18" t="str">
        <f t="shared" si="14"/>
        <v/>
      </c>
      <c r="Y921" s="19"/>
    </row>
    <row r="922" spans="23:25" ht="12.75" customHeight="1" x14ac:dyDescent="0.2">
      <c r="W922" s="19"/>
      <c r="X922" s="18" t="str">
        <f t="shared" si="14"/>
        <v/>
      </c>
      <c r="Y922" s="19"/>
    </row>
    <row r="923" spans="23:25" ht="12.75" customHeight="1" x14ac:dyDescent="0.2">
      <c r="W923" s="19"/>
      <c r="X923" s="18" t="str">
        <f t="shared" si="14"/>
        <v/>
      </c>
      <c r="Y923" s="19"/>
    </row>
    <row r="924" spans="23:25" ht="12.75" customHeight="1" x14ac:dyDescent="0.2">
      <c r="W924" s="19"/>
      <c r="X924" s="18" t="str">
        <f t="shared" si="14"/>
        <v/>
      </c>
      <c r="Y924" s="19"/>
    </row>
    <row r="925" spans="23:25" ht="12.75" customHeight="1" x14ac:dyDescent="0.2">
      <c r="W925" s="19"/>
      <c r="X925" s="18" t="str">
        <f t="shared" si="14"/>
        <v/>
      </c>
      <c r="Y925" s="19"/>
    </row>
    <row r="926" spans="23:25" ht="12.75" customHeight="1" x14ac:dyDescent="0.2">
      <c r="W926" s="19"/>
      <c r="X926" s="18" t="str">
        <f t="shared" si="14"/>
        <v/>
      </c>
      <c r="Y926" s="19"/>
    </row>
    <row r="927" spans="23:25" ht="12.75" customHeight="1" x14ac:dyDescent="0.2">
      <c r="W927" s="19"/>
      <c r="X927" s="18" t="str">
        <f t="shared" si="14"/>
        <v/>
      </c>
      <c r="Y927" s="19"/>
    </row>
    <row r="928" spans="23:25" ht="12.75" customHeight="1" x14ac:dyDescent="0.2">
      <c r="W928" s="19"/>
      <c r="X928" s="18" t="str">
        <f t="shared" si="14"/>
        <v/>
      </c>
      <c r="Y928" s="19"/>
    </row>
    <row r="929" spans="23:25" ht="12.75" customHeight="1" x14ac:dyDescent="0.2">
      <c r="W929" s="19"/>
      <c r="X929" s="18" t="str">
        <f t="shared" si="14"/>
        <v/>
      </c>
      <c r="Y929" s="19"/>
    </row>
    <row r="930" spans="23:25" ht="12.75" customHeight="1" x14ac:dyDescent="0.2">
      <c r="W930" s="19"/>
      <c r="X930" s="18" t="str">
        <f t="shared" si="14"/>
        <v/>
      </c>
      <c r="Y930" s="19"/>
    </row>
    <row r="931" spans="23:25" ht="12.75" customHeight="1" x14ac:dyDescent="0.2">
      <c r="W931" s="19"/>
      <c r="X931" s="18" t="str">
        <f t="shared" si="14"/>
        <v/>
      </c>
      <c r="Y931" s="19"/>
    </row>
    <row r="932" spans="23:25" ht="12.75" customHeight="1" x14ac:dyDescent="0.2">
      <c r="W932" s="19"/>
      <c r="X932" s="18" t="str">
        <f t="shared" si="14"/>
        <v/>
      </c>
      <c r="Y932" s="19"/>
    </row>
    <row r="933" spans="23:25" ht="12.75" customHeight="1" x14ac:dyDescent="0.2">
      <c r="W933" s="19"/>
      <c r="X933" s="18" t="str">
        <f t="shared" si="14"/>
        <v/>
      </c>
      <c r="Y933" s="19"/>
    </row>
    <row r="934" spans="23:25" ht="12.75" customHeight="1" x14ac:dyDescent="0.2">
      <c r="W934" s="19"/>
      <c r="X934" s="18" t="str">
        <f t="shared" si="14"/>
        <v/>
      </c>
      <c r="Y934" s="19"/>
    </row>
    <row r="935" spans="23:25" ht="12.75" customHeight="1" x14ac:dyDescent="0.2">
      <c r="W935" s="19"/>
      <c r="X935" s="18" t="str">
        <f t="shared" si="14"/>
        <v/>
      </c>
      <c r="Y935" s="19"/>
    </row>
    <row r="936" spans="23:25" ht="12.75" customHeight="1" x14ac:dyDescent="0.2">
      <c r="W936" s="19"/>
      <c r="X936" s="18" t="str">
        <f t="shared" si="14"/>
        <v/>
      </c>
      <c r="Y936" s="19"/>
    </row>
    <row r="937" spans="23:25" ht="12.75" customHeight="1" x14ac:dyDescent="0.2">
      <c r="W937" s="19"/>
      <c r="X937" s="18" t="str">
        <f t="shared" si="14"/>
        <v/>
      </c>
      <c r="Y937" s="19"/>
    </row>
    <row r="938" spans="23:25" ht="12.75" customHeight="1" x14ac:dyDescent="0.2">
      <c r="W938" s="19"/>
      <c r="X938" s="18" t="str">
        <f t="shared" si="14"/>
        <v/>
      </c>
      <c r="Y938" s="19"/>
    </row>
    <row r="939" spans="23:25" ht="12.75" customHeight="1" x14ac:dyDescent="0.2">
      <c r="W939" s="19"/>
      <c r="X939" s="18" t="str">
        <f t="shared" si="14"/>
        <v/>
      </c>
      <c r="Y939" s="19"/>
    </row>
    <row r="940" spans="23:25" ht="12.75" customHeight="1" x14ac:dyDescent="0.2">
      <c r="W940" s="19"/>
      <c r="X940" s="18" t="str">
        <f t="shared" si="14"/>
        <v/>
      </c>
      <c r="Y940" s="19"/>
    </row>
    <row r="941" spans="23:25" ht="12.75" customHeight="1" x14ac:dyDescent="0.2">
      <c r="W941" s="19"/>
      <c r="X941" s="18" t="str">
        <f t="shared" si="14"/>
        <v/>
      </c>
      <c r="Y941" s="19"/>
    </row>
    <row r="942" spans="23:25" ht="12.75" customHeight="1" x14ac:dyDescent="0.2">
      <c r="W942" s="19"/>
      <c r="X942" s="18" t="str">
        <f t="shared" si="14"/>
        <v/>
      </c>
      <c r="Y942" s="19"/>
    </row>
    <row r="943" spans="23:25" ht="12.75" customHeight="1" x14ac:dyDescent="0.2">
      <c r="W943" s="19"/>
      <c r="X943" s="18" t="str">
        <f t="shared" si="14"/>
        <v/>
      </c>
      <c r="Y943" s="19"/>
    </row>
    <row r="944" spans="23:25" ht="12.75" customHeight="1" x14ac:dyDescent="0.2">
      <c r="W944" s="19"/>
      <c r="X944" s="18" t="str">
        <f t="shared" si="14"/>
        <v/>
      </c>
      <c r="Y944" s="19"/>
    </row>
    <row r="945" spans="23:25" ht="12.75" customHeight="1" x14ac:dyDescent="0.2">
      <c r="W945" s="19"/>
      <c r="X945" s="18" t="str">
        <f t="shared" si="14"/>
        <v/>
      </c>
      <c r="Y945" s="19"/>
    </row>
    <row r="946" spans="23:25" ht="12.75" customHeight="1" x14ac:dyDescent="0.2">
      <c r="W946" s="19"/>
      <c r="X946" s="18" t="str">
        <f t="shared" si="14"/>
        <v/>
      </c>
      <c r="Y946" s="19"/>
    </row>
    <row r="947" spans="23:25" ht="12.75" customHeight="1" x14ac:dyDescent="0.2">
      <c r="W947" s="19"/>
      <c r="X947" s="18" t="str">
        <f t="shared" si="14"/>
        <v/>
      </c>
      <c r="Y947" s="19"/>
    </row>
    <row r="948" spans="23:25" ht="12.75" customHeight="1" x14ac:dyDescent="0.2">
      <c r="W948" s="19"/>
      <c r="X948" s="18" t="str">
        <f t="shared" si="14"/>
        <v/>
      </c>
      <c r="Y948" s="19"/>
    </row>
    <row r="949" spans="23:25" ht="12.75" customHeight="1" x14ac:dyDescent="0.2">
      <c r="W949" s="19"/>
      <c r="X949" s="18" t="str">
        <f t="shared" si="14"/>
        <v/>
      </c>
      <c r="Y949" s="19"/>
    </row>
    <row r="950" spans="23:25" ht="12.75" customHeight="1" x14ac:dyDescent="0.2">
      <c r="W950" s="19"/>
      <c r="X950" s="18" t="str">
        <f t="shared" si="14"/>
        <v/>
      </c>
      <c r="Y950" s="19"/>
    </row>
    <row r="951" spans="23:25" ht="12.75" customHeight="1" x14ac:dyDescent="0.2">
      <c r="W951" s="19"/>
      <c r="X951" s="18" t="str">
        <f t="shared" si="14"/>
        <v/>
      </c>
      <c r="Y951" s="19"/>
    </row>
    <row r="952" spans="23:25" ht="12.75" customHeight="1" x14ac:dyDescent="0.2">
      <c r="W952" s="19"/>
      <c r="X952" s="18" t="str">
        <f t="shared" si="14"/>
        <v/>
      </c>
      <c r="Y952" s="19"/>
    </row>
    <row r="953" spans="23:25" ht="12.75" customHeight="1" x14ac:dyDescent="0.2">
      <c r="W953" s="19"/>
      <c r="X953" s="18" t="str">
        <f t="shared" si="14"/>
        <v/>
      </c>
      <c r="Y953" s="19"/>
    </row>
    <row r="954" spans="23:25" ht="12.75" customHeight="1" x14ac:dyDescent="0.2">
      <c r="W954" s="19"/>
      <c r="X954" s="18" t="str">
        <f t="shared" si="14"/>
        <v/>
      </c>
      <c r="Y954" s="19"/>
    </row>
    <row r="955" spans="23:25" ht="12.75" customHeight="1" x14ac:dyDescent="0.2">
      <c r="W955" s="19"/>
      <c r="X955" s="18" t="str">
        <f t="shared" si="14"/>
        <v/>
      </c>
      <c r="Y955" s="19"/>
    </row>
    <row r="956" spans="23:25" ht="12.75" customHeight="1" x14ac:dyDescent="0.2">
      <c r="W956" s="19"/>
      <c r="X956" s="18" t="str">
        <f t="shared" si="14"/>
        <v/>
      </c>
      <c r="Y956" s="19"/>
    </row>
    <row r="957" spans="23:25" ht="12.75" customHeight="1" x14ac:dyDescent="0.2">
      <c r="W957" s="19"/>
      <c r="X957" s="18" t="str">
        <f t="shared" si="14"/>
        <v/>
      </c>
      <c r="Y957" s="19"/>
    </row>
    <row r="958" spans="23:25" ht="12.75" customHeight="1" x14ac:dyDescent="0.2">
      <c r="W958" s="19"/>
      <c r="X958" s="18" t="str">
        <f t="shared" si="14"/>
        <v/>
      </c>
      <c r="Y958" s="19"/>
    </row>
    <row r="959" spans="23:25" ht="12.75" customHeight="1" x14ac:dyDescent="0.2">
      <c r="W959" s="19"/>
      <c r="X959" s="18" t="str">
        <f t="shared" si="14"/>
        <v/>
      </c>
      <c r="Y959" s="19"/>
    </row>
    <row r="960" spans="23:25" ht="12.75" customHeight="1" x14ac:dyDescent="0.2">
      <c r="W960" s="19"/>
      <c r="X960" s="18" t="str">
        <f t="shared" si="14"/>
        <v/>
      </c>
      <c r="Y960" s="19"/>
    </row>
    <row r="961" spans="23:25" ht="12.75" customHeight="1" x14ac:dyDescent="0.2">
      <c r="W961" s="19"/>
      <c r="X961" s="18" t="str">
        <f t="shared" si="14"/>
        <v/>
      </c>
      <c r="Y961" s="19"/>
    </row>
    <row r="962" spans="23:25" ht="12.75" customHeight="1" x14ac:dyDescent="0.2">
      <c r="W962" s="19"/>
      <c r="X962" s="18" t="str">
        <f t="shared" si="14"/>
        <v/>
      </c>
      <c r="Y962" s="19"/>
    </row>
    <row r="963" spans="23:25" ht="12.75" customHeight="1" x14ac:dyDescent="0.2">
      <c r="W963" s="19"/>
      <c r="X963" s="18" t="str">
        <f t="shared" si="14"/>
        <v/>
      </c>
      <c r="Y963" s="19"/>
    </row>
    <row r="964" spans="23:25" ht="12.75" customHeight="1" x14ac:dyDescent="0.2">
      <c r="W964" s="19"/>
      <c r="X964" s="18" t="str">
        <f t="shared" si="14"/>
        <v/>
      </c>
      <c r="Y964" s="19"/>
    </row>
    <row r="965" spans="23:25" ht="12.75" customHeight="1" x14ac:dyDescent="0.2">
      <c r="W965" s="19"/>
      <c r="X965" s="18" t="str">
        <f t="shared" si="14"/>
        <v/>
      </c>
      <c r="Y965" s="19"/>
    </row>
    <row r="966" spans="23:25" ht="12.75" customHeight="1" x14ac:dyDescent="0.2">
      <c r="W966" s="19"/>
      <c r="X966" s="18" t="str">
        <f t="shared" si="14"/>
        <v/>
      </c>
      <c r="Y966" s="19"/>
    </row>
    <row r="967" spans="23:25" ht="12.75" customHeight="1" x14ac:dyDescent="0.2">
      <c r="W967" s="19"/>
      <c r="X967" s="18" t="str">
        <f t="shared" si="14"/>
        <v/>
      </c>
      <c r="Y967" s="19"/>
    </row>
    <row r="968" spans="23:25" ht="12.75" customHeight="1" x14ac:dyDescent="0.2">
      <c r="W968" s="19"/>
      <c r="X968" s="18" t="str">
        <f t="shared" si="14"/>
        <v/>
      </c>
      <c r="Y968" s="19"/>
    </row>
    <row r="969" spans="23:25" ht="12.75" customHeight="1" x14ac:dyDescent="0.2">
      <c r="W969" s="19"/>
      <c r="X969" s="18" t="str">
        <f t="shared" si="14"/>
        <v/>
      </c>
      <c r="Y969" s="19"/>
    </row>
    <row r="970" spans="23:25" ht="12.75" customHeight="1" x14ac:dyDescent="0.2">
      <c r="W970" s="19"/>
      <c r="X970" s="18" t="str">
        <f t="shared" ref="X970:X1033" si="15">IF(D970="0001","3rd Party","")</f>
        <v/>
      </c>
      <c r="Y970" s="19"/>
    </row>
    <row r="971" spans="23:25" ht="12.75" customHeight="1" x14ac:dyDescent="0.2">
      <c r="W971" s="19"/>
      <c r="X971" s="18" t="str">
        <f t="shared" si="15"/>
        <v/>
      </c>
      <c r="Y971" s="19"/>
    </row>
    <row r="972" spans="23:25" ht="12.75" customHeight="1" x14ac:dyDescent="0.2">
      <c r="W972" s="19"/>
      <c r="X972" s="18" t="str">
        <f t="shared" si="15"/>
        <v/>
      </c>
      <c r="Y972" s="19"/>
    </row>
    <row r="973" spans="23:25" ht="12.75" customHeight="1" x14ac:dyDescent="0.2">
      <c r="W973" s="19"/>
      <c r="X973" s="18" t="str">
        <f t="shared" si="15"/>
        <v/>
      </c>
      <c r="Y973" s="19"/>
    </row>
    <row r="974" spans="23:25" ht="12.75" customHeight="1" x14ac:dyDescent="0.2">
      <c r="W974" s="19"/>
      <c r="X974" s="18" t="str">
        <f t="shared" si="15"/>
        <v/>
      </c>
      <c r="Y974" s="19"/>
    </row>
    <row r="975" spans="23:25" ht="12.75" customHeight="1" x14ac:dyDescent="0.2">
      <c r="W975" s="19"/>
      <c r="X975" s="18" t="str">
        <f t="shared" si="15"/>
        <v/>
      </c>
      <c r="Y975" s="19"/>
    </row>
    <row r="976" spans="23:25" ht="12.75" customHeight="1" x14ac:dyDescent="0.2">
      <c r="W976" s="19"/>
      <c r="X976" s="18" t="str">
        <f t="shared" si="15"/>
        <v/>
      </c>
      <c r="Y976" s="19"/>
    </row>
    <row r="977" spans="23:25" ht="12.75" customHeight="1" x14ac:dyDescent="0.2">
      <c r="W977" s="19"/>
      <c r="X977" s="18" t="str">
        <f t="shared" si="15"/>
        <v/>
      </c>
      <c r="Y977" s="19"/>
    </row>
    <row r="978" spans="23:25" ht="12.75" customHeight="1" x14ac:dyDescent="0.2">
      <c r="W978" s="19"/>
      <c r="X978" s="18" t="str">
        <f t="shared" si="15"/>
        <v/>
      </c>
      <c r="Y978" s="19"/>
    </row>
    <row r="979" spans="23:25" ht="12.75" customHeight="1" x14ac:dyDescent="0.2">
      <c r="W979" s="19"/>
      <c r="X979" s="18" t="str">
        <f t="shared" si="15"/>
        <v/>
      </c>
      <c r="Y979" s="19"/>
    </row>
    <row r="980" spans="23:25" ht="12.75" customHeight="1" x14ac:dyDescent="0.2">
      <c r="W980" s="19"/>
      <c r="X980" s="18" t="str">
        <f t="shared" si="15"/>
        <v/>
      </c>
      <c r="Y980" s="19"/>
    </row>
    <row r="981" spans="23:25" ht="12.75" customHeight="1" x14ac:dyDescent="0.2">
      <c r="W981" s="19"/>
      <c r="X981" s="18" t="str">
        <f t="shared" si="15"/>
        <v/>
      </c>
      <c r="Y981" s="19"/>
    </row>
    <row r="982" spans="23:25" ht="12.75" customHeight="1" x14ac:dyDescent="0.2">
      <c r="W982" s="19"/>
      <c r="X982" s="18" t="str">
        <f t="shared" si="15"/>
        <v/>
      </c>
      <c r="Y982" s="19"/>
    </row>
    <row r="983" spans="23:25" ht="12.75" customHeight="1" x14ac:dyDescent="0.2">
      <c r="W983" s="19"/>
      <c r="X983" s="18" t="str">
        <f t="shared" si="15"/>
        <v/>
      </c>
      <c r="Y983" s="19"/>
    </row>
    <row r="984" spans="23:25" ht="12.75" customHeight="1" x14ac:dyDescent="0.2">
      <c r="W984" s="19"/>
      <c r="X984" s="18" t="str">
        <f t="shared" si="15"/>
        <v/>
      </c>
      <c r="Y984" s="19"/>
    </row>
    <row r="985" spans="23:25" ht="12.75" customHeight="1" x14ac:dyDescent="0.2">
      <c r="W985" s="19"/>
      <c r="X985" s="18" t="str">
        <f t="shared" si="15"/>
        <v/>
      </c>
      <c r="Y985" s="19"/>
    </row>
    <row r="986" spans="23:25" ht="12.75" customHeight="1" x14ac:dyDescent="0.2">
      <c r="W986" s="19"/>
      <c r="X986" s="18" t="str">
        <f t="shared" si="15"/>
        <v/>
      </c>
      <c r="Y986" s="19"/>
    </row>
    <row r="987" spans="23:25" ht="12.75" customHeight="1" x14ac:dyDescent="0.2">
      <c r="W987" s="19"/>
      <c r="X987" s="18" t="str">
        <f t="shared" si="15"/>
        <v/>
      </c>
      <c r="Y987" s="19"/>
    </row>
    <row r="988" spans="23:25" ht="12.75" customHeight="1" x14ac:dyDescent="0.2">
      <c r="W988" s="19"/>
      <c r="X988" s="18" t="str">
        <f t="shared" si="15"/>
        <v/>
      </c>
      <c r="Y988" s="19"/>
    </row>
    <row r="989" spans="23:25" ht="12.75" customHeight="1" x14ac:dyDescent="0.2">
      <c r="W989" s="19"/>
      <c r="X989" s="18" t="str">
        <f t="shared" si="15"/>
        <v/>
      </c>
      <c r="Y989" s="19"/>
    </row>
    <row r="990" spans="23:25" ht="12.75" customHeight="1" x14ac:dyDescent="0.2">
      <c r="W990" s="19"/>
      <c r="X990" s="18" t="str">
        <f t="shared" si="15"/>
        <v/>
      </c>
      <c r="Y990" s="19"/>
    </row>
    <row r="991" spans="23:25" ht="12.75" customHeight="1" x14ac:dyDescent="0.2">
      <c r="W991" s="19"/>
      <c r="X991" s="18" t="str">
        <f t="shared" si="15"/>
        <v/>
      </c>
      <c r="Y991" s="19"/>
    </row>
    <row r="992" spans="23:25" ht="12.75" customHeight="1" x14ac:dyDescent="0.2">
      <c r="W992" s="19"/>
      <c r="X992" s="18" t="str">
        <f t="shared" si="15"/>
        <v/>
      </c>
      <c r="Y992" s="19"/>
    </row>
    <row r="993" spans="23:25" ht="12.75" customHeight="1" x14ac:dyDescent="0.2">
      <c r="W993" s="19"/>
      <c r="X993" s="18" t="str">
        <f t="shared" si="15"/>
        <v/>
      </c>
      <c r="Y993" s="19"/>
    </row>
    <row r="994" spans="23:25" ht="12.75" customHeight="1" x14ac:dyDescent="0.2">
      <c r="W994" s="19"/>
      <c r="X994" s="18" t="str">
        <f t="shared" si="15"/>
        <v/>
      </c>
      <c r="Y994" s="19"/>
    </row>
    <row r="995" spans="23:25" ht="12.75" customHeight="1" x14ac:dyDescent="0.2">
      <c r="W995" s="19"/>
      <c r="X995" s="18" t="str">
        <f t="shared" si="15"/>
        <v/>
      </c>
      <c r="Y995" s="19"/>
    </row>
    <row r="996" spans="23:25" ht="12.75" customHeight="1" x14ac:dyDescent="0.2">
      <c r="W996" s="19"/>
      <c r="X996" s="18" t="str">
        <f t="shared" si="15"/>
        <v/>
      </c>
      <c r="Y996" s="19"/>
    </row>
    <row r="997" spans="23:25" ht="12.75" customHeight="1" x14ac:dyDescent="0.2">
      <c r="W997" s="19"/>
      <c r="X997" s="18" t="str">
        <f t="shared" si="15"/>
        <v/>
      </c>
      <c r="Y997" s="19"/>
    </row>
    <row r="998" spans="23:25" ht="12.75" customHeight="1" x14ac:dyDescent="0.2">
      <c r="W998" s="19"/>
      <c r="X998" s="18" t="str">
        <f t="shared" si="15"/>
        <v/>
      </c>
      <c r="Y998" s="19"/>
    </row>
    <row r="999" spans="23:25" ht="12.75" customHeight="1" x14ac:dyDescent="0.2">
      <c r="W999" s="19"/>
      <c r="X999" s="18" t="str">
        <f t="shared" si="15"/>
        <v/>
      </c>
      <c r="Y999" s="19"/>
    </row>
    <row r="1000" spans="23:25" ht="12.75" customHeight="1" x14ac:dyDescent="0.2">
      <c r="W1000" s="19"/>
      <c r="X1000" s="18" t="str">
        <f t="shared" si="15"/>
        <v/>
      </c>
      <c r="Y1000" s="19"/>
    </row>
    <row r="1001" spans="23:25" ht="12.75" customHeight="1" x14ac:dyDescent="0.2">
      <c r="W1001" s="19"/>
      <c r="X1001" s="18" t="str">
        <f t="shared" si="15"/>
        <v/>
      </c>
      <c r="Y1001" s="19"/>
    </row>
    <row r="1002" spans="23:25" ht="12.75" customHeight="1" x14ac:dyDescent="0.2">
      <c r="W1002" s="19"/>
      <c r="X1002" s="18" t="str">
        <f t="shared" si="15"/>
        <v/>
      </c>
      <c r="Y1002" s="19"/>
    </row>
    <row r="1003" spans="23:25" ht="12.75" customHeight="1" x14ac:dyDescent="0.2">
      <c r="W1003" s="19"/>
      <c r="X1003" s="18" t="str">
        <f t="shared" si="15"/>
        <v/>
      </c>
      <c r="Y1003" s="19"/>
    </row>
    <row r="1004" spans="23:25" ht="12.75" customHeight="1" x14ac:dyDescent="0.2">
      <c r="W1004" s="19"/>
      <c r="X1004" s="18" t="str">
        <f t="shared" si="15"/>
        <v/>
      </c>
      <c r="Y1004" s="19"/>
    </row>
    <row r="1005" spans="23:25" ht="12.75" customHeight="1" x14ac:dyDescent="0.2">
      <c r="W1005" s="19"/>
      <c r="X1005" s="18" t="str">
        <f t="shared" si="15"/>
        <v/>
      </c>
      <c r="Y1005" s="19"/>
    </row>
    <row r="1006" spans="23:25" ht="12.75" customHeight="1" x14ac:dyDescent="0.2">
      <c r="W1006" s="19"/>
      <c r="X1006" s="18" t="str">
        <f t="shared" si="15"/>
        <v/>
      </c>
      <c r="Y1006" s="19"/>
    </row>
    <row r="1007" spans="23:25" ht="12.75" customHeight="1" x14ac:dyDescent="0.2">
      <c r="W1007" s="19"/>
      <c r="X1007" s="18" t="str">
        <f t="shared" si="15"/>
        <v/>
      </c>
      <c r="Y1007" s="19"/>
    </row>
    <row r="1008" spans="23:25" ht="12.75" customHeight="1" x14ac:dyDescent="0.2">
      <c r="W1008" s="19"/>
      <c r="X1008" s="18" t="str">
        <f t="shared" si="15"/>
        <v/>
      </c>
      <c r="Y1008" s="19"/>
    </row>
    <row r="1009" spans="23:25" ht="12.75" customHeight="1" x14ac:dyDescent="0.2">
      <c r="W1009" s="19"/>
      <c r="X1009" s="18" t="str">
        <f t="shared" si="15"/>
        <v/>
      </c>
      <c r="Y1009" s="19"/>
    </row>
    <row r="1010" spans="23:25" ht="12.75" customHeight="1" x14ac:dyDescent="0.2">
      <c r="W1010" s="19"/>
      <c r="X1010" s="18" t="str">
        <f t="shared" si="15"/>
        <v/>
      </c>
      <c r="Y1010" s="19"/>
    </row>
    <row r="1011" spans="23:25" ht="12.75" customHeight="1" x14ac:dyDescent="0.2">
      <c r="W1011" s="19"/>
      <c r="X1011" s="18" t="str">
        <f t="shared" si="15"/>
        <v/>
      </c>
      <c r="Y1011" s="19"/>
    </row>
    <row r="1012" spans="23:25" ht="12.75" customHeight="1" x14ac:dyDescent="0.2">
      <c r="W1012" s="19"/>
      <c r="X1012" s="18" t="str">
        <f t="shared" si="15"/>
        <v/>
      </c>
      <c r="Y1012" s="19"/>
    </row>
    <row r="1013" spans="23:25" ht="12.75" customHeight="1" x14ac:dyDescent="0.2">
      <c r="W1013" s="19"/>
      <c r="X1013" s="18" t="str">
        <f t="shared" si="15"/>
        <v/>
      </c>
      <c r="Y1013" s="19"/>
    </row>
    <row r="1014" spans="23:25" ht="12.75" customHeight="1" x14ac:dyDescent="0.2">
      <c r="W1014" s="19"/>
      <c r="X1014" s="18" t="str">
        <f t="shared" si="15"/>
        <v/>
      </c>
      <c r="Y1014" s="19"/>
    </row>
    <row r="1015" spans="23:25" ht="12.75" customHeight="1" x14ac:dyDescent="0.2">
      <c r="W1015" s="19"/>
      <c r="X1015" s="18" t="str">
        <f t="shared" si="15"/>
        <v/>
      </c>
      <c r="Y1015" s="19"/>
    </row>
    <row r="1016" spans="23:25" ht="12.75" customHeight="1" x14ac:dyDescent="0.2">
      <c r="W1016" s="19"/>
      <c r="X1016" s="18" t="str">
        <f t="shared" si="15"/>
        <v/>
      </c>
      <c r="Y1016" s="19"/>
    </row>
    <row r="1017" spans="23:25" ht="12.75" customHeight="1" x14ac:dyDescent="0.2">
      <c r="W1017" s="19"/>
      <c r="X1017" s="18" t="str">
        <f t="shared" si="15"/>
        <v/>
      </c>
      <c r="Y1017" s="19"/>
    </row>
    <row r="1018" spans="23:25" ht="12.75" customHeight="1" x14ac:dyDescent="0.2">
      <c r="W1018" s="19"/>
      <c r="X1018" s="18" t="str">
        <f t="shared" si="15"/>
        <v/>
      </c>
      <c r="Y1018" s="19"/>
    </row>
    <row r="1019" spans="23:25" ht="12.75" customHeight="1" x14ac:dyDescent="0.2">
      <c r="W1019" s="19"/>
      <c r="X1019" s="18" t="str">
        <f t="shared" si="15"/>
        <v/>
      </c>
      <c r="Y1019" s="19"/>
    </row>
    <row r="1020" spans="23:25" ht="12.75" customHeight="1" x14ac:dyDescent="0.2">
      <c r="W1020" s="19"/>
      <c r="X1020" s="18" t="str">
        <f t="shared" si="15"/>
        <v/>
      </c>
      <c r="Y1020" s="19"/>
    </row>
    <row r="1021" spans="23:25" ht="12.75" customHeight="1" x14ac:dyDescent="0.2">
      <c r="W1021" s="19"/>
      <c r="X1021" s="18" t="str">
        <f t="shared" si="15"/>
        <v/>
      </c>
      <c r="Y1021" s="19"/>
    </row>
    <row r="1022" spans="23:25" ht="12.75" customHeight="1" x14ac:dyDescent="0.2">
      <c r="W1022" s="19"/>
      <c r="X1022" s="18" t="str">
        <f t="shared" si="15"/>
        <v/>
      </c>
      <c r="Y1022" s="19"/>
    </row>
    <row r="1023" spans="23:25" ht="12.75" customHeight="1" x14ac:dyDescent="0.2">
      <c r="W1023" s="19"/>
      <c r="X1023" s="18" t="str">
        <f t="shared" si="15"/>
        <v/>
      </c>
      <c r="Y1023" s="19"/>
    </row>
    <row r="1024" spans="23:25" ht="12.75" customHeight="1" x14ac:dyDescent="0.2">
      <c r="W1024" s="19"/>
      <c r="X1024" s="18" t="str">
        <f t="shared" si="15"/>
        <v/>
      </c>
      <c r="Y1024" s="19"/>
    </row>
    <row r="1025" spans="23:25" ht="12.75" customHeight="1" x14ac:dyDescent="0.2">
      <c r="W1025" s="19"/>
      <c r="X1025" s="18" t="str">
        <f t="shared" si="15"/>
        <v/>
      </c>
      <c r="Y1025" s="19"/>
    </row>
    <row r="1026" spans="23:25" ht="12.75" customHeight="1" x14ac:dyDescent="0.2">
      <c r="W1026" s="19"/>
      <c r="X1026" s="18" t="str">
        <f t="shared" si="15"/>
        <v/>
      </c>
      <c r="Y1026" s="19"/>
    </row>
    <row r="1027" spans="23:25" ht="12.75" customHeight="1" x14ac:dyDescent="0.2">
      <c r="W1027" s="19"/>
      <c r="X1027" s="18" t="str">
        <f t="shared" si="15"/>
        <v/>
      </c>
      <c r="Y1027" s="19"/>
    </row>
    <row r="1028" spans="23:25" ht="12.75" customHeight="1" x14ac:dyDescent="0.2">
      <c r="W1028" s="19"/>
      <c r="X1028" s="18" t="str">
        <f t="shared" si="15"/>
        <v/>
      </c>
      <c r="Y1028" s="19"/>
    </row>
    <row r="1029" spans="23:25" ht="12.75" customHeight="1" x14ac:dyDescent="0.2">
      <c r="W1029" s="19"/>
      <c r="X1029" s="18" t="str">
        <f t="shared" si="15"/>
        <v/>
      </c>
      <c r="Y1029" s="19"/>
    </row>
    <row r="1030" spans="23:25" ht="12.75" customHeight="1" x14ac:dyDescent="0.2">
      <c r="W1030" s="19"/>
      <c r="X1030" s="18" t="str">
        <f t="shared" si="15"/>
        <v/>
      </c>
      <c r="Y1030" s="19"/>
    </row>
    <row r="1031" spans="23:25" ht="12.75" customHeight="1" x14ac:dyDescent="0.2">
      <c r="W1031" s="19"/>
      <c r="X1031" s="18" t="str">
        <f t="shared" si="15"/>
        <v/>
      </c>
      <c r="Y1031" s="19"/>
    </row>
    <row r="1032" spans="23:25" ht="12.75" customHeight="1" x14ac:dyDescent="0.2">
      <c r="W1032" s="19"/>
      <c r="X1032" s="18" t="str">
        <f t="shared" si="15"/>
        <v/>
      </c>
      <c r="Y1032" s="19"/>
    </row>
    <row r="1033" spans="23:25" ht="12.75" customHeight="1" x14ac:dyDescent="0.2">
      <c r="W1033" s="19"/>
      <c r="X1033" s="18" t="str">
        <f t="shared" si="15"/>
        <v/>
      </c>
      <c r="Y1033" s="19"/>
    </row>
    <row r="1034" spans="23:25" ht="12.75" customHeight="1" x14ac:dyDescent="0.2">
      <c r="W1034" s="19"/>
      <c r="X1034" s="18" t="str">
        <f t="shared" ref="X1034:X1097" si="16">IF(D1034="0001","3rd Party","")</f>
        <v/>
      </c>
      <c r="Y1034" s="19"/>
    </row>
    <row r="1035" spans="23:25" ht="12.75" customHeight="1" x14ac:dyDescent="0.2">
      <c r="W1035" s="19"/>
      <c r="X1035" s="18" t="str">
        <f t="shared" si="16"/>
        <v/>
      </c>
      <c r="Y1035" s="19"/>
    </row>
    <row r="1036" spans="23:25" ht="12.75" customHeight="1" x14ac:dyDescent="0.2">
      <c r="W1036" s="19"/>
      <c r="X1036" s="18" t="str">
        <f t="shared" si="16"/>
        <v/>
      </c>
      <c r="Y1036" s="19"/>
    </row>
    <row r="1037" spans="23:25" ht="12.75" customHeight="1" x14ac:dyDescent="0.2">
      <c r="W1037" s="19"/>
      <c r="X1037" s="18" t="str">
        <f t="shared" si="16"/>
        <v/>
      </c>
      <c r="Y1037" s="19"/>
    </row>
    <row r="1038" spans="23:25" ht="12.75" customHeight="1" x14ac:dyDescent="0.2">
      <c r="W1038" s="19"/>
      <c r="X1038" s="18" t="str">
        <f t="shared" si="16"/>
        <v/>
      </c>
      <c r="Y1038" s="19"/>
    </row>
    <row r="1039" spans="23:25" ht="12.75" customHeight="1" x14ac:dyDescent="0.2">
      <c r="W1039" s="19"/>
      <c r="X1039" s="18" t="str">
        <f t="shared" si="16"/>
        <v/>
      </c>
      <c r="Y1039" s="19"/>
    </row>
    <row r="1040" spans="23:25" ht="12.75" customHeight="1" x14ac:dyDescent="0.2">
      <c r="W1040" s="19"/>
      <c r="X1040" s="18" t="str">
        <f t="shared" si="16"/>
        <v/>
      </c>
      <c r="Y1040" s="19"/>
    </row>
    <row r="1041" spans="23:25" ht="12.75" customHeight="1" x14ac:dyDescent="0.2">
      <c r="W1041" s="19"/>
      <c r="X1041" s="18" t="str">
        <f t="shared" si="16"/>
        <v/>
      </c>
      <c r="Y1041" s="19"/>
    </row>
    <row r="1042" spans="23:25" ht="12.75" customHeight="1" x14ac:dyDescent="0.2">
      <c r="W1042" s="19"/>
      <c r="X1042" s="18" t="str">
        <f t="shared" si="16"/>
        <v/>
      </c>
      <c r="Y1042" s="19"/>
    </row>
    <row r="1043" spans="23:25" ht="12.75" customHeight="1" x14ac:dyDescent="0.2">
      <c r="W1043" s="19"/>
      <c r="X1043" s="18" t="str">
        <f t="shared" si="16"/>
        <v/>
      </c>
      <c r="Y1043" s="19"/>
    </row>
    <row r="1044" spans="23:25" ht="12.75" customHeight="1" x14ac:dyDescent="0.2">
      <c r="W1044" s="19"/>
      <c r="X1044" s="18" t="str">
        <f t="shared" si="16"/>
        <v/>
      </c>
      <c r="Y1044" s="19"/>
    </row>
    <row r="1045" spans="23:25" ht="12.75" customHeight="1" x14ac:dyDescent="0.2">
      <c r="W1045" s="19"/>
      <c r="X1045" s="18" t="str">
        <f t="shared" si="16"/>
        <v/>
      </c>
      <c r="Y1045" s="19"/>
    </row>
    <row r="1046" spans="23:25" ht="12.75" customHeight="1" x14ac:dyDescent="0.2">
      <c r="W1046" s="19"/>
      <c r="X1046" s="18" t="str">
        <f t="shared" si="16"/>
        <v/>
      </c>
      <c r="Y1046" s="19"/>
    </row>
    <row r="1047" spans="23:25" ht="12.75" customHeight="1" x14ac:dyDescent="0.2">
      <c r="W1047" s="19"/>
      <c r="X1047" s="18" t="str">
        <f t="shared" si="16"/>
        <v/>
      </c>
      <c r="Y1047" s="19"/>
    </row>
    <row r="1048" spans="23:25" ht="12.75" customHeight="1" x14ac:dyDescent="0.2">
      <c r="W1048" s="19"/>
      <c r="X1048" s="18" t="str">
        <f t="shared" si="16"/>
        <v/>
      </c>
      <c r="Y1048" s="19"/>
    </row>
    <row r="1049" spans="23:25" ht="12.75" customHeight="1" x14ac:dyDescent="0.2">
      <c r="W1049" s="19"/>
      <c r="X1049" s="18" t="str">
        <f t="shared" si="16"/>
        <v/>
      </c>
      <c r="Y1049" s="19"/>
    </row>
    <row r="1050" spans="23:25" ht="12.75" customHeight="1" x14ac:dyDescent="0.2">
      <c r="W1050" s="19"/>
      <c r="X1050" s="18" t="str">
        <f t="shared" si="16"/>
        <v/>
      </c>
      <c r="Y1050" s="19"/>
    </row>
    <row r="1051" spans="23:25" ht="12.75" customHeight="1" x14ac:dyDescent="0.2">
      <c r="W1051" s="19"/>
      <c r="X1051" s="18" t="str">
        <f t="shared" si="16"/>
        <v/>
      </c>
      <c r="Y1051" s="19"/>
    </row>
    <row r="1052" spans="23:25" ht="12.75" customHeight="1" x14ac:dyDescent="0.2">
      <c r="W1052" s="19"/>
      <c r="X1052" s="18" t="str">
        <f t="shared" si="16"/>
        <v/>
      </c>
      <c r="Y1052" s="19"/>
    </row>
    <row r="1053" spans="23:25" ht="12.75" customHeight="1" x14ac:dyDescent="0.2">
      <c r="W1053" s="19"/>
      <c r="X1053" s="18" t="str">
        <f t="shared" si="16"/>
        <v/>
      </c>
      <c r="Y1053" s="19"/>
    </row>
    <row r="1054" spans="23:25" ht="12.75" customHeight="1" x14ac:dyDescent="0.2">
      <c r="W1054" s="19"/>
      <c r="X1054" s="18" t="str">
        <f t="shared" si="16"/>
        <v/>
      </c>
      <c r="Y1054" s="19"/>
    </row>
    <row r="1055" spans="23:25" ht="12.75" customHeight="1" x14ac:dyDescent="0.2">
      <c r="W1055" s="19"/>
      <c r="X1055" s="18" t="str">
        <f t="shared" si="16"/>
        <v/>
      </c>
      <c r="Y1055" s="19"/>
    </row>
    <row r="1056" spans="23:25" ht="12.75" customHeight="1" x14ac:dyDescent="0.2">
      <c r="W1056" s="19"/>
      <c r="X1056" s="18" t="str">
        <f t="shared" si="16"/>
        <v/>
      </c>
      <c r="Y1056" s="19"/>
    </row>
    <row r="1057" spans="23:25" ht="12.75" customHeight="1" x14ac:dyDescent="0.2">
      <c r="W1057" s="19"/>
      <c r="X1057" s="18" t="str">
        <f t="shared" si="16"/>
        <v/>
      </c>
      <c r="Y1057" s="19"/>
    </row>
    <row r="1058" spans="23:25" ht="12.75" customHeight="1" x14ac:dyDescent="0.2">
      <c r="W1058" s="19"/>
      <c r="X1058" s="18" t="str">
        <f t="shared" si="16"/>
        <v/>
      </c>
      <c r="Y1058" s="19"/>
    </row>
    <row r="1059" spans="23:25" ht="12.75" customHeight="1" x14ac:dyDescent="0.2">
      <c r="W1059" s="19"/>
      <c r="X1059" s="18" t="str">
        <f t="shared" si="16"/>
        <v/>
      </c>
      <c r="Y1059" s="19"/>
    </row>
    <row r="1060" spans="23:25" ht="12.75" customHeight="1" x14ac:dyDescent="0.2">
      <c r="W1060" s="19"/>
      <c r="X1060" s="18" t="str">
        <f t="shared" si="16"/>
        <v/>
      </c>
      <c r="Y1060" s="19"/>
    </row>
    <row r="1061" spans="23:25" ht="12.75" customHeight="1" x14ac:dyDescent="0.2">
      <c r="W1061" s="19"/>
      <c r="X1061" s="18" t="str">
        <f t="shared" si="16"/>
        <v/>
      </c>
      <c r="Y1061" s="19"/>
    </row>
    <row r="1062" spans="23:25" ht="12.75" customHeight="1" x14ac:dyDescent="0.2">
      <c r="W1062" s="19"/>
      <c r="X1062" s="18" t="str">
        <f t="shared" si="16"/>
        <v/>
      </c>
      <c r="Y1062" s="19"/>
    </row>
    <row r="1063" spans="23:25" ht="12.75" customHeight="1" x14ac:dyDescent="0.2">
      <c r="W1063" s="19"/>
      <c r="X1063" s="18" t="str">
        <f t="shared" si="16"/>
        <v/>
      </c>
      <c r="Y1063" s="19"/>
    </row>
    <row r="1064" spans="23:25" ht="12.75" customHeight="1" x14ac:dyDescent="0.2">
      <c r="W1064" s="19"/>
      <c r="X1064" s="18" t="str">
        <f t="shared" si="16"/>
        <v/>
      </c>
      <c r="Y1064" s="19"/>
    </row>
    <row r="1065" spans="23:25" ht="12.75" customHeight="1" x14ac:dyDescent="0.2">
      <c r="W1065" s="19"/>
      <c r="X1065" s="18" t="str">
        <f t="shared" si="16"/>
        <v/>
      </c>
      <c r="Y1065" s="19"/>
    </row>
    <row r="1066" spans="23:25" ht="12.75" customHeight="1" x14ac:dyDescent="0.2">
      <c r="W1066" s="19"/>
      <c r="X1066" s="18" t="str">
        <f t="shared" si="16"/>
        <v/>
      </c>
      <c r="Y1066" s="19"/>
    </row>
    <row r="1067" spans="23:25" ht="12.75" customHeight="1" x14ac:dyDescent="0.2">
      <c r="W1067" s="19"/>
      <c r="X1067" s="18" t="str">
        <f t="shared" si="16"/>
        <v/>
      </c>
      <c r="Y1067" s="19"/>
    </row>
    <row r="1068" spans="23:25" ht="12.75" customHeight="1" x14ac:dyDescent="0.2">
      <c r="W1068" s="19"/>
      <c r="X1068" s="18" t="str">
        <f t="shared" si="16"/>
        <v/>
      </c>
      <c r="Y1068" s="19"/>
    </row>
    <row r="1069" spans="23:25" ht="12.75" customHeight="1" x14ac:dyDescent="0.2">
      <c r="W1069" s="19"/>
      <c r="X1069" s="18" t="str">
        <f t="shared" si="16"/>
        <v/>
      </c>
      <c r="Y1069" s="19"/>
    </row>
    <row r="1070" spans="23:25" ht="12.75" customHeight="1" x14ac:dyDescent="0.2">
      <c r="W1070" s="19"/>
      <c r="X1070" s="18" t="str">
        <f t="shared" si="16"/>
        <v/>
      </c>
      <c r="Y1070" s="19"/>
    </row>
    <row r="1071" spans="23:25" ht="12.75" customHeight="1" x14ac:dyDescent="0.2">
      <c r="W1071" s="19"/>
      <c r="X1071" s="18" t="str">
        <f t="shared" si="16"/>
        <v/>
      </c>
      <c r="Y1071" s="19"/>
    </row>
    <row r="1072" spans="23:25" ht="12.75" customHeight="1" x14ac:dyDescent="0.2">
      <c r="W1072" s="19"/>
      <c r="X1072" s="18" t="str">
        <f t="shared" si="16"/>
        <v/>
      </c>
      <c r="Y1072" s="19"/>
    </row>
    <row r="1073" spans="23:25" ht="12.75" customHeight="1" x14ac:dyDescent="0.2">
      <c r="W1073" s="19"/>
      <c r="X1073" s="18" t="str">
        <f t="shared" si="16"/>
        <v/>
      </c>
      <c r="Y1073" s="19"/>
    </row>
    <row r="1074" spans="23:25" ht="12.75" customHeight="1" x14ac:dyDescent="0.2">
      <c r="W1074" s="19"/>
      <c r="X1074" s="18" t="str">
        <f t="shared" si="16"/>
        <v/>
      </c>
      <c r="Y1074" s="19"/>
    </row>
    <row r="1075" spans="23:25" ht="12.75" customHeight="1" x14ac:dyDescent="0.2">
      <c r="W1075" s="19"/>
      <c r="X1075" s="18" t="str">
        <f t="shared" si="16"/>
        <v/>
      </c>
      <c r="Y1075" s="19"/>
    </row>
    <row r="1076" spans="23:25" ht="12.75" customHeight="1" x14ac:dyDescent="0.2">
      <c r="W1076" s="19"/>
      <c r="X1076" s="18" t="str">
        <f t="shared" si="16"/>
        <v/>
      </c>
      <c r="Y1076" s="19"/>
    </row>
    <row r="1077" spans="23:25" ht="12.75" customHeight="1" x14ac:dyDescent="0.2">
      <c r="W1077" s="19"/>
      <c r="X1077" s="18" t="str">
        <f t="shared" si="16"/>
        <v/>
      </c>
      <c r="Y1077" s="19"/>
    </row>
    <row r="1078" spans="23:25" ht="12.75" customHeight="1" x14ac:dyDescent="0.2">
      <c r="W1078" s="19"/>
      <c r="X1078" s="18" t="str">
        <f t="shared" si="16"/>
        <v/>
      </c>
      <c r="Y1078" s="19"/>
    </row>
    <row r="1079" spans="23:25" ht="12.75" customHeight="1" x14ac:dyDescent="0.2">
      <c r="W1079" s="19"/>
      <c r="X1079" s="18" t="str">
        <f t="shared" si="16"/>
        <v/>
      </c>
      <c r="Y1079" s="19"/>
    </row>
    <row r="1080" spans="23:25" ht="12.75" customHeight="1" x14ac:dyDescent="0.2">
      <c r="W1080" s="19"/>
      <c r="X1080" s="18" t="str">
        <f t="shared" si="16"/>
        <v/>
      </c>
      <c r="Y1080" s="19"/>
    </row>
    <row r="1081" spans="23:25" ht="12.75" customHeight="1" x14ac:dyDescent="0.2">
      <c r="W1081" s="19"/>
      <c r="X1081" s="18" t="str">
        <f t="shared" si="16"/>
        <v/>
      </c>
      <c r="Y1081" s="19"/>
    </row>
    <row r="1082" spans="23:25" ht="12.75" customHeight="1" x14ac:dyDescent="0.2">
      <c r="W1082" s="19"/>
      <c r="X1082" s="18" t="str">
        <f t="shared" si="16"/>
        <v/>
      </c>
      <c r="Y1082" s="19"/>
    </row>
    <row r="1083" spans="23:25" ht="12.75" customHeight="1" x14ac:dyDescent="0.2">
      <c r="W1083" s="19"/>
      <c r="X1083" s="18" t="str">
        <f t="shared" si="16"/>
        <v/>
      </c>
      <c r="Y1083" s="19"/>
    </row>
    <row r="1084" spans="23:25" ht="12.75" customHeight="1" x14ac:dyDescent="0.2">
      <c r="W1084" s="19"/>
      <c r="X1084" s="18" t="str">
        <f t="shared" si="16"/>
        <v/>
      </c>
      <c r="Y1084" s="19"/>
    </row>
    <row r="1085" spans="23:25" ht="12.75" customHeight="1" x14ac:dyDescent="0.2">
      <c r="W1085" s="19"/>
      <c r="X1085" s="18" t="str">
        <f t="shared" si="16"/>
        <v/>
      </c>
      <c r="Y1085" s="19"/>
    </row>
    <row r="1086" spans="23:25" ht="12.75" customHeight="1" x14ac:dyDescent="0.2">
      <c r="W1086" s="19"/>
      <c r="X1086" s="18" t="str">
        <f t="shared" si="16"/>
        <v/>
      </c>
      <c r="Y1086" s="19"/>
    </row>
    <row r="1087" spans="23:25" ht="12.75" customHeight="1" x14ac:dyDescent="0.2">
      <c r="W1087" s="19"/>
      <c r="X1087" s="18" t="str">
        <f t="shared" si="16"/>
        <v/>
      </c>
      <c r="Y1087" s="19"/>
    </row>
    <row r="1088" spans="23:25" ht="12.75" customHeight="1" x14ac:dyDescent="0.2">
      <c r="W1088" s="19"/>
      <c r="X1088" s="18" t="str">
        <f t="shared" si="16"/>
        <v/>
      </c>
      <c r="Y1088" s="19"/>
    </row>
    <row r="1089" spans="23:25" ht="12.75" customHeight="1" x14ac:dyDescent="0.2">
      <c r="W1089" s="19"/>
      <c r="X1089" s="18" t="str">
        <f t="shared" si="16"/>
        <v/>
      </c>
      <c r="Y1089" s="19"/>
    </row>
    <row r="1090" spans="23:25" ht="12.75" customHeight="1" x14ac:dyDescent="0.2">
      <c r="W1090" s="19"/>
      <c r="X1090" s="18" t="str">
        <f t="shared" si="16"/>
        <v/>
      </c>
      <c r="Y1090" s="19"/>
    </row>
    <row r="1091" spans="23:25" ht="12.75" customHeight="1" x14ac:dyDescent="0.2">
      <c r="W1091" s="19"/>
      <c r="X1091" s="18" t="str">
        <f t="shared" si="16"/>
        <v/>
      </c>
      <c r="Y1091" s="19"/>
    </row>
    <row r="1092" spans="23:25" ht="12.75" customHeight="1" x14ac:dyDescent="0.2">
      <c r="W1092" s="19"/>
      <c r="X1092" s="18" t="str">
        <f t="shared" si="16"/>
        <v/>
      </c>
      <c r="Y1092" s="19"/>
    </row>
    <row r="1093" spans="23:25" ht="12.75" customHeight="1" x14ac:dyDescent="0.2">
      <c r="W1093" s="19"/>
      <c r="X1093" s="18" t="str">
        <f t="shared" si="16"/>
        <v/>
      </c>
      <c r="Y1093" s="19"/>
    </row>
    <row r="1094" spans="23:25" ht="12.75" customHeight="1" x14ac:dyDescent="0.2">
      <c r="W1094" s="19"/>
      <c r="X1094" s="18" t="str">
        <f t="shared" si="16"/>
        <v/>
      </c>
      <c r="Y1094" s="19"/>
    </row>
    <row r="1095" spans="23:25" ht="12.75" customHeight="1" x14ac:dyDescent="0.2">
      <c r="W1095" s="19"/>
      <c r="X1095" s="18" t="str">
        <f t="shared" si="16"/>
        <v/>
      </c>
      <c r="Y1095" s="19"/>
    </row>
    <row r="1096" spans="23:25" ht="12.75" customHeight="1" x14ac:dyDescent="0.2">
      <c r="W1096" s="19"/>
      <c r="X1096" s="18" t="str">
        <f t="shared" si="16"/>
        <v/>
      </c>
      <c r="Y1096" s="19"/>
    </row>
    <row r="1097" spans="23:25" ht="12.75" customHeight="1" x14ac:dyDescent="0.2">
      <c r="W1097" s="19"/>
      <c r="X1097" s="18" t="str">
        <f t="shared" si="16"/>
        <v/>
      </c>
      <c r="Y1097" s="19"/>
    </row>
    <row r="1098" spans="23:25" ht="12.75" customHeight="1" x14ac:dyDescent="0.2">
      <c r="W1098" s="19"/>
      <c r="X1098" s="18" t="str">
        <f t="shared" ref="X1098:X1161" si="17">IF(D1098="0001","3rd Party","")</f>
        <v/>
      </c>
      <c r="Y1098" s="19"/>
    </row>
    <row r="1099" spans="23:25" ht="12.75" customHeight="1" x14ac:dyDescent="0.2">
      <c r="W1099" s="19"/>
      <c r="X1099" s="18" t="str">
        <f t="shared" si="17"/>
        <v/>
      </c>
      <c r="Y1099" s="19"/>
    </row>
    <row r="1100" spans="23:25" ht="12.75" customHeight="1" x14ac:dyDescent="0.2">
      <c r="W1100" s="19"/>
      <c r="X1100" s="18" t="str">
        <f t="shared" si="17"/>
        <v/>
      </c>
      <c r="Y1100" s="19"/>
    </row>
    <row r="1101" spans="23:25" ht="12.75" customHeight="1" x14ac:dyDescent="0.2">
      <c r="W1101" s="19"/>
      <c r="X1101" s="18" t="str">
        <f t="shared" si="17"/>
        <v/>
      </c>
      <c r="Y1101" s="19"/>
    </row>
    <row r="1102" spans="23:25" ht="12.75" customHeight="1" x14ac:dyDescent="0.2">
      <c r="W1102" s="19"/>
      <c r="X1102" s="18" t="str">
        <f t="shared" si="17"/>
        <v/>
      </c>
      <c r="Y1102" s="19"/>
    </row>
    <row r="1103" spans="23:25" ht="12.75" customHeight="1" x14ac:dyDescent="0.2">
      <c r="W1103" s="19"/>
      <c r="X1103" s="18" t="str">
        <f t="shared" si="17"/>
        <v/>
      </c>
      <c r="Y1103" s="19"/>
    </row>
    <row r="1104" spans="23:25" ht="12.75" customHeight="1" x14ac:dyDescent="0.2">
      <c r="W1104" s="19"/>
      <c r="X1104" s="18" t="str">
        <f t="shared" si="17"/>
        <v/>
      </c>
      <c r="Y1104" s="19"/>
    </row>
    <row r="1105" spans="23:25" ht="12.75" customHeight="1" x14ac:dyDescent="0.2">
      <c r="W1105" s="19"/>
      <c r="X1105" s="18" t="str">
        <f t="shared" si="17"/>
        <v/>
      </c>
      <c r="Y1105" s="19"/>
    </row>
    <row r="1106" spans="23:25" ht="12.75" customHeight="1" x14ac:dyDescent="0.2">
      <c r="W1106" s="19"/>
      <c r="X1106" s="18" t="str">
        <f t="shared" si="17"/>
        <v/>
      </c>
      <c r="Y1106" s="19"/>
    </row>
    <row r="1107" spans="23:25" ht="12.75" customHeight="1" x14ac:dyDescent="0.2">
      <c r="W1107" s="19"/>
      <c r="X1107" s="18" t="str">
        <f t="shared" si="17"/>
        <v/>
      </c>
      <c r="Y1107" s="19"/>
    </row>
    <row r="1108" spans="23:25" ht="12.75" customHeight="1" x14ac:dyDescent="0.2">
      <c r="W1108" s="19"/>
      <c r="X1108" s="18" t="str">
        <f t="shared" si="17"/>
        <v/>
      </c>
      <c r="Y1108" s="19"/>
    </row>
    <row r="1109" spans="23:25" ht="12.75" customHeight="1" x14ac:dyDescent="0.2">
      <c r="W1109" s="19"/>
      <c r="X1109" s="18" t="str">
        <f t="shared" si="17"/>
        <v/>
      </c>
      <c r="Y1109" s="19"/>
    </row>
    <row r="1110" spans="23:25" ht="12.75" customHeight="1" x14ac:dyDescent="0.2">
      <c r="W1110" s="19"/>
      <c r="X1110" s="18" t="str">
        <f t="shared" si="17"/>
        <v/>
      </c>
      <c r="Y1110" s="19"/>
    </row>
    <row r="1111" spans="23:25" ht="12.75" customHeight="1" x14ac:dyDescent="0.2">
      <c r="W1111" s="19"/>
      <c r="X1111" s="18" t="str">
        <f t="shared" si="17"/>
        <v/>
      </c>
      <c r="Y1111" s="19"/>
    </row>
    <row r="1112" spans="23:25" ht="12.75" customHeight="1" x14ac:dyDescent="0.2">
      <c r="W1112" s="19"/>
      <c r="X1112" s="18" t="str">
        <f t="shared" si="17"/>
        <v/>
      </c>
      <c r="Y1112" s="19"/>
    </row>
    <row r="1113" spans="23:25" ht="12.75" customHeight="1" x14ac:dyDescent="0.2">
      <c r="W1113" s="19"/>
      <c r="X1113" s="18" t="str">
        <f t="shared" si="17"/>
        <v/>
      </c>
      <c r="Y1113" s="19"/>
    </row>
    <row r="1114" spans="23:25" ht="12.75" customHeight="1" x14ac:dyDescent="0.2">
      <c r="W1114" s="19"/>
      <c r="X1114" s="18" t="str">
        <f t="shared" si="17"/>
        <v/>
      </c>
      <c r="Y1114" s="19"/>
    </row>
    <row r="1115" spans="23:25" ht="12.75" customHeight="1" x14ac:dyDescent="0.2">
      <c r="W1115" s="19"/>
      <c r="X1115" s="18" t="str">
        <f t="shared" si="17"/>
        <v/>
      </c>
      <c r="Y1115" s="19"/>
    </row>
    <row r="1116" spans="23:25" ht="12.75" customHeight="1" x14ac:dyDescent="0.2">
      <c r="W1116" s="19"/>
      <c r="X1116" s="18" t="str">
        <f t="shared" si="17"/>
        <v/>
      </c>
      <c r="Y1116" s="19"/>
    </row>
    <row r="1117" spans="23:25" ht="12.75" customHeight="1" x14ac:dyDescent="0.2">
      <c r="W1117" s="19"/>
      <c r="X1117" s="18" t="str">
        <f t="shared" si="17"/>
        <v/>
      </c>
      <c r="Y1117" s="19"/>
    </row>
    <row r="1118" spans="23:25" ht="12.75" customHeight="1" x14ac:dyDescent="0.2">
      <c r="W1118" s="19"/>
      <c r="X1118" s="18" t="str">
        <f t="shared" si="17"/>
        <v/>
      </c>
      <c r="Y1118" s="19"/>
    </row>
    <row r="1119" spans="23:25" ht="12.75" customHeight="1" x14ac:dyDescent="0.2">
      <c r="W1119" s="19"/>
      <c r="X1119" s="18" t="str">
        <f t="shared" si="17"/>
        <v/>
      </c>
      <c r="Y1119" s="19"/>
    </row>
    <row r="1120" spans="23:25" ht="12.75" customHeight="1" x14ac:dyDescent="0.2">
      <c r="W1120" s="19"/>
      <c r="X1120" s="18" t="str">
        <f t="shared" si="17"/>
        <v/>
      </c>
      <c r="Y1120" s="19"/>
    </row>
    <row r="1121" spans="23:25" ht="12.75" customHeight="1" x14ac:dyDescent="0.2">
      <c r="W1121" s="19"/>
      <c r="X1121" s="18" t="str">
        <f t="shared" si="17"/>
        <v/>
      </c>
      <c r="Y1121" s="19"/>
    </row>
    <row r="1122" spans="23:25" ht="12.75" customHeight="1" x14ac:dyDescent="0.2">
      <c r="W1122" s="19"/>
      <c r="X1122" s="18" t="str">
        <f t="shared" si="17"/>
        <v/>
      </c>
      <c r="Y1122" s="19"/>
    </row>
    <row r="1123" spans="23:25" ht="12.75" customHeight="1" x14ac:dyDescent="0.2">
      <c r="W1123" s="19"/>
      <c r="X1123" s="18" t="str">
        <f t="shared" si="17"/>
        <v/>
      </c>
      <c r="Y1123" s="19"/>
    </row>
    <row r="1124" spans="23:25" ht="12.75" customHeight="1" x14ac:dyDescent="0.2">
      <c r="W1124" s="19"/>
      <c r="X1124" s="18" t="str">
        <f t="shared" si="17"/>
        <v/>
      </c>
      <c r="Y1124" s="19"/>
    </row>
    <row r="1125" spans="23:25" ht="12.75" customHeight="1" x14ac:dyDescent="0.2">
      <c r="W1125" s="19"/>
      <c r="X1125" s="18" t="str">
        <f t="shared" si="17"/>
        <v/>
      </c>
      <c r="Y1125" s="19"/>
    </row>
    <row r="1126" spans="23:25" ht="12.75" customHeight="1" x14ac:dyDescent="0.2">
      <c r="W1126" s="19"/>
      <c r="X1126" s="18" t="str">
        <f t="shared" si="17"/>
        <v/>
      </c>
      <c r="Y1126" s="19"/>
    </row>
    <row r="1127" spans="23:25" ht="12.75" customHeight="1" x14ac:dyDescent="0.2">
      <c r="W1127" s="19"/>
      <c r="X1127" s="18" t="str">
        <f t="shared" si="17"/>
        <v/>
      </c>
      <c r="Y1127" s="19"/>
    </row>
    <row r="1128" spans="23:25" ht="12.75" customHeight="1" x14ac:dyDescent="0.2">
      <c r="W1128" s="19"/>
      <c r="X1128" s="18" t="str">
        <f t="shared" si="17"/>
        <v/>
      </c>
      <c r="Y1128" s="19"/>
    </row>
    <row r="1129" spans="23:25" ht="12.75" customHeight="1" x14ac:dyDescent="0.2">
      <c r="W1129" s="19"/>
      <c r="X1129" s="18" t="str">
        <f t="shared" si="17"/>
        <v/>
      </c>
      <c r="Y1129" s="19"/>
    </row>
    <row r="1130" spans="23:25" ht="12.75" customHeight="1" x14ac:dyDescent="0.2">
      <c r="W1130" s="19"/>
      <c r="X1130" s="18" t="str">
        <f t="shared" si="17"/>
        <v/>
      </c>
      <c r="Y1130" s="19"/>
    </row>
    <row r="1131" spans="23:25" ht="12.75" customHeight="1" x14ac:dyDescent="0.2">
      <c r="W1131" s="19"/>
      <c r="X1131" s="18" t="str">
        <f t="shared" si="17"/>
        <v/>
      </c>
      <c r="Y1131" s="19"/>
    </row>
    <row r="1132" spans="23:25" ht="12.75" customHeight="1" x14ac:dyDescent="0.2">
      <c r="W1132" s="19"/>
      <c r="X1132" s="18" t="str">
        <f t="shared" si="17"/>
        <v/>
      </c>
      <c r="Y1132" s="19"/>
    </row>
    <row r="1133" spans="23:25" ht="12.75" customHeight="1" x14ac:dyDescent="0.2">
      <c r="W1133" s="19"/>
      <c r="X1133" s="18" t="str">
        <f t="shared" si="17"/>
        <v/>
      </c>
      <c r="Y1133" s="19"/>
    </row>
    <row r="1134" spans="23:25" ht="12.75" customHeight="1" x14ac:dyDescent="0.2">
      <c r="W1134" s="19"/>
      <c r="X1134" s="18" t="str">
        <f t="shared" si="17"/>
        <v/>
      </c>
      <c r="Y1134" s="19"/>
    </row>
    <row r="1135" spans="23:25" ht="12.75" customHeight="1" x14ac:dyDescent="0.2">
      <c r="W1135" s="19"/>
      <c r="X1135" s="18" t="str">
        <f t="shared" si="17"/>
        <v/>
      </c>
      <c r="Y1135" s="19"/>
    </row>
    <row r="1136" spans="23:25" ht="12.75" customHeight="1" x14ac:dyDescent="0.2">
      <c r="W1136" s="19"/>
      <c r="X1136" s="18" t="str">
        <f t="shared" si="17"/>
        <v/>
      </c>
      <c r="Y1136" s="19"/>
    </row>
    <row r="1137" spans="23:25" ht="12.75" customHeight="1" x14ac:dyDescent="0.2">
      <c r="W1137" s="19"/>
      <c r="X1137" s="18" t="str">
        <f t="shared" si="17"/>
        <v/>
      </c>
      <c r="Y1137" s="19"/>
    </row>
    <row r="1138" spans="23:25" ht="12.75" customHeight="1" x14ac:dyDescent="0.2">
      <c r="W1138" s="19"/>
      <c r="X1138" s="18" t="str">
        <f t="shared" si="17"/>
        <v/>
      </c>
      <c r="Y1138" s="19"/>
    </row>
    <row r="1139" spans="23:25" ht="12.75" customHeight="1" x14ac:dyDescent="0.2">
      <c r="W1139" s="19"/>
      <c r="X1139" s="18" t="str">
        <f t="shared" si="17"/>
        <v/>
      </c>
      <c r="Y1139" s="19"/>
    </row>
    <row r="1140" spans="23:25" ht="12.75" customHeight="1" x14ac:dyDescent="0.2">
      <c r="W1140" s="19"/>
      <c r="X1140" s="18" t="str">
        <f t="shared" si="17"/>
        <v/>
      </c>
      <c r="Y1140" s="19"/>
    </row>
    <row r="1141" spans="23:25" ht="12.75" customHeight="1" x14ac:dyDescent="0.2">
      <c r="W1141" s="19"/>
      <c r="X1141" s="18" t="str">
        <f t="shared" si="17"/>
        <v/>
      </c>
      <c r="Y1141" s="19"/>
    </row>
    <row r="1142" spans="23:25" ht="12.75" customHeight="1" x14ac:dyDescent="0.2">
      <c r="W1142" s="19"/>
      <c r="X1142" s="18" t="str">
        <f t="shared" si="17"/>
        <v/>
      </c>
      <c r="Y1142" s="19"/>
    </row>
    <row r="1143" spans="23:25" ht="12.75" customHeight="1" x14ac:dyDescent="0.2">
      <c r="W1143" s="19"/>
      <c r="X1143" s="18" t="str">
        <f t="shared" si="17"/>
        <v/>
      </c>
      <c r="Y1143" s="19"/>
    </row>
    <row r="1144" spans="23:25" ht="12.75" customHeight="1" x14ac:dyDescent="0.2">
      <c r="W1144" s="19"/>
      <c r="X1144" s="18" t="str">
        <f t="shared" si="17"/>
        <v/>
      </c>
      <c r="Y1144" s="19"/>
    </row>
    <row r="1145" spans="23:25" ht="12.75" customHeight="1" x14ac:dyDescent="0.2">
      <c r="W1145" s="19"/>
      <c r="X1145" s="18" t="str">
        <f t="shared" si="17"/>
        <v/>
      </c>
      <c r="Y1145" s="19"/>
    </row>
    <row r="1146" spans="23:25" ht="12.75" customHeight="1" x14ac:dyDescent="0.2">
      <c r="W1146" s="19"/>
      <c r="X1146" s="18" t="str">
        <f t="shared" si="17"/>
        <v/>
      </c>
      <c r="Y1146" s="19"/>
    </row>
    <row r="1147" spans="23:25" ht="12.75" customHeight="1" x14ac:dyDescent="0.2">
      <c r="W1147" s="19"/>
      <c r="X1147" s="18" t="str">
        <f t="shared" si="17"/>
        <v/>
      </c>
      <c r="Y1147" s="19"/>
    </row>
    <row r="1148" spans="23:25" ht="12.75" customHeight="1" x14ac:dyDescent="0.2">
      <c r="W1148" s="19"/>
      <c r="X1148" s="18" t="str">
        <f t="shared" si="17"/>
        <v/>
      </c>
      <c r="Y1148" s="19"/>
    </row>
    <row r="1149" spans="23:25" ht="12.75" customHeight="1" x14ac:dyDescent="0.2">
      <c r="W1149" s="19"/>
      <c r="X1149" s="18" t="str">
        <f t="shared" si="17"/>
        <v/>
      </c>
      <c r="Y1149" s="19"/>
    </row>
    <row r="1150" spans="23:25" ht="12.75" customHeight="1" x14ac:dyDescent="0.2">
      <c r="W1150" s="19"/>
      <c r="X1150" s="18" t="str">
        <f t="shared" si="17"/>
        <v/>
      </c>
      <c r="Y1150" s="19"/>
    </row>
    <row r="1151" spans="23:25" ht="12.75" customHeight="1" x14ac:dyDescent="0.2">
      <c r="W1151" s="19"/>
      <c r="X1151" s="18" t="str">
        <f t="shared" si="17"/>
        <v/>
      </c>
      <c r="Y1151" s="19"/>
    </row>
    <row r="1152" spans="23:25" ht="12.75" customHeight="1" x14ac:dyDescent="0.2">
      <c r="W1152" s="19"/>
      <c r="X1152" s="18" t="str">
        <f t="shared" si="17"/>
        <v/>
      </c>
      <c r="Y1152" s="19"/>
    </row>
    <row r="1153" spans="23:25" ht="12.75" customHeight="1" x14ac:dyDescent="0.2">
      <c r="W1153" s="19"/>
      <c r="X1153" s="18" t="str">
        <f t="shared" si="17"/>
        <v/>
      </c>
      <c r="Y1153" s="19"/>
    </row>
    <row r="1154" spans="23:25" ht="12.75" customHeight="1" x14ac:dyDescent="0.2">
      <c r="W1154" s="19"/>
      <c r="X1154" s="18" t="str">
        <f t="shared" si="17"/>
        <v/>
      </c>
      <c r="Y1154" s="19"/>
    </row>
    <row r="1155" spans="23:25" ht="12.75" customHeight="1" x14ac:dyDescent="0.2">
      <c r="W1155" s="19"/>
      <c r="X1155" s="18" t="str">
        <f t="shared" si="17"/>
        <v/>
      </c>
      <c r="Y1155" s="19"/>
    </row>
    <row r="1156" spans="23:25" ht="12.75" customHeight="1" x14ac:dyDescent="0.2">
      <c r="W1156" s="19"/>
      <c r="X1156" s="18" t="str">
        <f t="shared" si="17"/>
        <v/>
      </c>
      <c r="Y1156" s="19"/>
    </row>
    <row r="1157" spans="23:25" ht="12.75" customHeight="1" x14ac:dyDescent="0.2">
      <c r="W1157" s="19"/>
      <c r="X1157" s="18" t="str">
        <f t="shared" si="17"/>
        <v/>
      </c>
      <c r="Y1157" s="19"/>
    </row>
    <row r="1158" spans="23:25" ht="12.75" customHeight="1" x14ac:dyDescent="0.2">
      <c r="W1158" s="19"/>
      <c r="X1158" s="18" t="str">
        <f t="shared" si="17"/>
        <v/>
      </c>
      <c r="Y1158" s="19"/>
    </row>
    <row r="1159" spans="23:25" ht="12.75" customHeight="1" x14ac:dyDescent="0.2">
      <c r="W1159" s="19"/>
      <c r="X1159" s="18" t="str">
        <f t="shared" si="17"/>
        <v/>
      </c>
      <c r="Y1159" s="19"/>
    </row>
    <row r="1160" spans="23:25" ht="12.75" customHeight="1" x14ac:dyDescent="0.2">
      <c r="W1160" s="19"/>
      <c r="X1160" s="18" t="str">
        <f t="shared" si="17"/>
        <v/>
      </c>
      <c r="Y1160" s="19"/>
    </row>
    <row r="1161" spans="23:25" ht="12.75" customHeight="1" x14ac:dyDescent="0.2">
      <c r="W1161" s="19"/>
      <c r="X1161" s="18" t="str">
        <f t="shared" si="17"/>
        <v/>
      </c>
      <c r="Y1161" s="19"/>
    </row>
    <row r="1162" spans="23:25" ht="12.75" customHeight="1" x14ac:dyDescent="0.2">
      <c r="W1162" s="19"/>
      <c r="X1162" s="18" t="str">
        <f t="shared" ref="X1162:X1225" si="18">IF(D1162="0001","3rd Party","")</f>
        <v/>
      </c>
      <c r="Y1162" s="19"/>
    </row>
    <row r="1163" spans="23:25" ht="12.75" customHeight="1" x14ac:dyDescent="0.2">
      <c r="W1163" s="19"/>
      <c r="X1163" s="18" t="str">
        <f t="shared" si="18"/>
        <v/>
      </c>
      <c r="Y1163" s="19"/>
    </row>
    <row r="1164" spans="23:25" ht="12.75" customHeight="1" x14ac:dyDescent="0.2">
      <c r="W1164" s="19"/>
      <c r="X1164" s="18" t="str">
        <f t="shared" si="18"/>
        <v/>
      </c>
      <c r="Y1164" s="19"/>
    </row>
    <row r="1165" spans="23:25" ht="12.75" customHeight="1" x14ac:dyDescent="0.2">
      <c r="W1165" s="19"/>
      <c r="X1165" s="18" t="str">
        <f t="shared" si="18"/>
        <v/>
      </c>
      <c r="Y1165" s="19"/>
    </row>
    <row r="1166" spans="23:25" ht="12.75" customHeight="1" x14ac:dyDescent="0.2">
      <c r="W1166" s="19"/>
      <c r="X1166" s="18" t="str">
        <f t="shared" si="18"/>
        <v/>
      </c>
      <c r="Y1166" s="19"/>
    </row>
    <row r="1167" spans="23:25" ht="12.75" customHeight="1" x14ac:dyDescent="0.2">
      <c r="W1167" s="19"/>
      <c r="X1167" s="18" t="str">
        <f t="shared" si="18"/>
        <v/>
      </c>
      <c r="Y1167" s="19"/>
    </row>
    <row r="1168" spans="23:25" ht="12.75" customHeight="1" x14ac:dyDescent="0.2">
      <c r="W1168" s="19"/>
      <c r="X1168" s="18" t="str">
        <f t="shared" si="18"/>
        <v/>
      </c>
      <c r="Y1168" s="19"/>
    </row>
    <row r="1169" spans="23:25" ht="12.75" customHeight="1" x14ac:dyDescent="0.2">
      <c r="W1169" s="19"/>
      <c r="X1169" s="18" t="str">
        <f t="shared" si="18"/>
        <v/>
      </c>
      <c r="Y1169" s="19"/>
    </row>
    <row r="1170" spans="23:25" ht="12.75" customHeight="1" x14ac:dyDescent="0.2">
      <c r="W1170" s="19"/>
      <c r="X1170" s="18" t="str">
        <f t="shared" si="18"/>
        <v/>
      </c>
      <c r="Y1170" s="19"/>
    </row>
    <row r="1171" spans="23:25" ht="12.75" customHeight="1" x14ac:dyDescent="0.2">
      <c r="W1171" s="19"/>
      <c r="X1171" s="18" t="str">
        <f t="shared" si="18"/>
        <v/>
      </c>
      <c r="Y1171" s="19"/>
    </row>
    <row r="1172" spans="23:25" ht="12.75" customHeight="1" x14ac:dyDescent="0.2">
      <c r="W1172" s="19"/>
      <c r="X1172" s="18" t="str">
        <f t="shared" si="18"/>
        <v/>
      </c>
      <c r="Y1172" s="19"/>
    </row>
    <row r="1173" spans="23:25" ht="12.75" customHeight="1" x14ac:dyDescent="0.2">
      <c r="W1173" s="19"/>
      <c r="X1173" s="18" t="str">
        <f t="shared" si="18"/>
        <v/>
      </c>
      <c r="Y1173" s="19"/>
    </row>
    <row r="1174" spans="23:25" ht="12.75" customHeight="1" x14ac:dyDescent="0.2">
      <c r="W1174" s="19"/>
      <c r="X1174" s="18" t="str">
        <f t="shared" si="18"/>
        <v/>
      </c>
      <c r="Y1174" s="19"/>
    </row>
    <row r="1175" spans="23:25" ht="12.75" customHeight="1" x14ac:dyDescent="0.2">
      <c r="W1175" s="19"/>
      <c r="X1175" s="18" t="str">
        <f t="shared" si="18"/>
        <v/>
      </c>
      <c r="Y1175" s="19"/>
    </row>
    <row r="1176" spans="23:25" ht="12.75" customHeight="1" x14ac:dyDescent="0.2">
      <c r="W1176" s="19"/>
      <c r="X1176" s="18" t="str">
        <f t="shared" si="18"/>
        <v/>
      </c>
      <c r="Y1176" s="19"/>
    </row>
    <row r="1177" spans="23:25" ht="12.75" customHeight="1" x14ac:dyDescent="0.2">
      <c r="W1177" s="19"/>
      <c r="X1177" s="18" t="str">
        <f t="shared" si="18"/>
        <v/>
      </c>
      <c r="Y1177" s="19"/>
    </row>
    <row r="1178" spans="23:25" ht="12.75" customHeight="1" x14ac:dyDescent="0.2">
      <c r="W1178" s="19"/>
      <c r="X1178" s="18" t="str">
        <f t="shared" si="18"/>
        <v/>
      </c>
      <c r="Y1178" s="19"/>
    </row>
    <row r="1179" spans="23:25" ht="12.75" customHeight="1" x14ac:dyDescent="0.2">
      <c r="W1179" s="19"/>
      <c r="X1179" s="18" t="str">
        <f t="shared" si="18"/>
        <v/>
      </c>
      <c r="Y1179" s="19"/>
    </row>
    <row r="1180" spans="23:25" ht="12.75" customHeight="1" x14ac:dyDescent="0.2">
      <c r="W1180" s="19"/>
      <c r="X1180" s="18" t="str">
        <f t="shared" si="18"/>
        <v/>
      </c>
      <c r="Y1180" s="19"/>
    </row>
    <row r="1181" spans="23:25" ht="12.75" customHeight="1" x14ac:dyDescent="0.2">
      <c r="W1181" s="19"/>
      <c r="X1181" s="18" t="str">
        <f t="shared" si="18"/>
        <v/>
      </c>
      <c r="Y1181" s="19"/>
    </row>
    <row r="1182" spans="23:25" ht="12.75" customHeight="1" x14ac:dyDescent="0.2">
      <c r="W1182" s="19"/>
      <c r="X1182" s="18" t="str">
        <f t="shared" si="18"/>
        <v/>
      </c>
      <c r="Y1182" s="19"/>
    </row>
    <row r="1183" spans="23:25" ht="12.75" customHeight="1" x14ac:dyDescent="0.2">
      <c r="W1183" s="19"/>
      <c r="X1183" s="18" t="str">
        <f t="shared" si="18"/>
        <v/>
      </c>
      <c r="Y1183" s="19"/>
    </row>
    <row r="1184" spans="23:25" ht="12.75" customHeight="1" x14ac:dyDescent="0.2">
      <c r="W1184" s="19"/>
      <c r="X1184" s="18" t="str">
        <f t="shared" si="18"/>
        <v/>
      </c>
      <c r="Y1184" s="19"/>
    </row>
    <row r="1185" spans="23:25" ht="12.75" customHeight="1" x14ac:dyDescent="0.2">
      <c r="W1185" s="19"/>
      <c r="X1185" s="18" t="str">
        <f t="shared" si="18"/>
        <v/>
      </c>
      <c r="Y1185" s="19"/>
    </row>
    <row r="1186" spans="23:25" ht="12.75" customHeight="1" x14ac:dyDescent="0.2">
      <c r="W1186" s="19"/>
      <c r="X1186" s="18" t="str">
        <f t="shared" si="18"/>
        <v/>
      </c>
      <c r="Y1186" s="19"/>
    </row>
    <row r="1187" spans="23:25" ht="12.75" customHeight="1" x14ac:dyDescent="0.2">
      <c r="W1187" s="19"/>
      <c r="X1187" s="18" t="str">
        <f t="shared" si="18"/>
        <v/>
      </c>
      <c r="Y1187" s="19"/>
    </row>
    <row r="1188" spans="23:25" ht="12.75" customHeight="1" x14ac:dyDescent="0.2">
      <c r="W1188" s="19"/>
      <c r="X1188" s="18" t="str">
        <f t="shared" si="18"/>
        <v/>
      </c>
      <c r="Y1188" s="19"/>
    </row>
    <row r="1189" spans="23:25" ht="12.75" customHeight="1" x14ac:dyDescent="0.2">
      <c r="W1189" s="19"/>
      <c r="X1189" s="18" t="str">
        <f t="shared" si="18"/>
        <v/>
      </c>
      <c r="Y1189" s="19"/>
    </row>
    <row r="1190" spans="23:25" ht="12.75" customHeight="1" x14ac:dyDescent="0.2">
      <c r="W1190" s="19"/>
      <c r="X1190" s="18" t="str">
        <f t="shared" si="18"/>
        <v/>
      </c>
      <c r="Y1190" s="19"/>
    </row>
    <row r="1191" spans="23:25" ht="12.75" customHeight="1" x14ac:dyDescent="0.2">
      <c r="W1191" s="19"/>
      <c r="X1191" s="18" t="str">
        <f t="shared" si="18"/>
        <v/>
      </c>
      <c r="Y1191" s="19"/>
    </row>
    <row r="1192" spans="23:25" ht="12.75" customHeight="1" x14ac:dyDescent="0.2">
      <c r="W1192" s="19"/>
      <c r="X1192" s="18" t="str">
        <f t="shared" si="18"/>
        <v/>
      </c>
      <c r="Y1192" s="19"/>
    </row>
    <row r="1193" spans="23:25" ht="12.75" customHeight="1" x14ac:dyDescent="0.2">
      <c r="W1193" s="19"/>
      <c r="X1193" s="18" t="str">
        <f t="shared" si="18"/>
        <v/>
      </c>
      <c r="Y1193" s="19"/>
    </row>
    <row r="1194" spans="23:25" ht="12.75" customHeight="1" x14ac:dyDescent="0.2">
      <c r="W1194" s="19"/>
      <c r="X1194" s="18" t="str">
        <f t="shared" si="18"/>
        <v/>
      </c>
      <c r="Y1194" s="19"/>
    </row>
    <row r="1195" spans="23:25" ht="12.75" customHeight="1" x14ac:dyDescent="0.2">
      <c r="W1195" s="19"/>
      <c r="X1195" s="18" t="str">
        <f t="shared" si="18"/>
        <v/>
      </c>
      <c r="Y1195" s="19"/>
    </row>
    <row r="1196" spans="23:25" ht="12.75" customHeight="1" x14ac:dyDescent="0.2">
      <c r="W1196" s="19"/>
      <c r="X1196" s="18" t="str">
        <f t="shared" si="18"/>
        <v/>
      </c>
      <c r="Y1196" s="19"/>
    </row>
    <row r="1197" spans="23:25" ht="12.75" customHeight="1" x14ac:dyDescent="0.2">
      <c r="W1197" s="19"/>
      <c r="X1197" s="18" t="str">
        <f t="shared" si="18"/>
        <v/>
      </c>
      <c r="Y1197" s="19"/>
    </row>
    <row r="1198" spans="23:25" ht="12.75" customHeight="1" x14ac:dyDescent="0.2">
      <c r="W1198" s="19"/>
      <c r="X1198" s="18" t="str">
        <f t="shared" si="18"/>
        <v/>
      </c>
      <c r="Y1198" s="19"/>
    </row>
    <row r="1199" spans="23:25" ht="12.75" customHeight="1" x14ac:dyDescent="0.2">
      <c r="W1199" s="19"/>
      <c r="X1199" s="18" t="str">
        <f t="shared" si="18"/>
        <v/>
      </c>
      <c r="Y1199" s="19"/>
    </row>
    <row r="1200" spans="23:25" ht="12.75" customHeight="1" x14ac:dyDescent="0.2">
      <c r="W1200" s="19"/>
      <c r="X1200" s="18" t="str">
        <f t="shared" si="18"/>
        <v/>
      </c>
      <c r="Y1200" s="19"/>
    </row>
    <row r="1201" spans="23:25" ht="12.75" customHeight="1" x14ac:dyDescent="0.2">
      <c r="W1201" s="19"/>
      <c r="X1201" s="18" t="str">
        <f t="shared" si="18"/>
        <v/>
      </c>
      <c r="Y1201" s="19"/>
    </row>
    <row r="1202" spans="23:25" ht="12.75" customHeight="1" x14ac:dyDescent="0.2">
      <c r="W1202" s="19"/>
      <c r="X1202" s="18" t="str">
        <f t="shared" si="18"/>
        <v/>
      </c>
      <c r="Y1202" s="19"/>
    </row>
    <row r="1203" spans="23:25" ht="12.75" customHeight="1" x14ac:dyDescent="0.2">
      <c r="W1203" s="19"/>
      <c r="X1203" s="18" t="str">
        <f t="shared" si="18"/>
        <v/>
      </c>
      <c r="Y1203" s="19"/>
    </row>
    <row r="1204" spans="23:25" ht="12.75" customHeight="1" x14ac:dyDescent="0.2">
      <c r="W1204" s="19"/>
      <c r="X1204" s="18" t="str">
        <f t="shared" si="18"/>
        <v/>
      </c>
      <c r="Y1204" s="19"/>
    </row>
    <row r="1205" spans="23:25" ht="12.75" customHeight="1" x14ac:dyDescent="0.2">
      <c r="W1205" s="19"/>
      <c r="X1205" s="18" t="str">
        <f t="shared" si="18"/>
        <v/>
      </c>
      <c r="Y1205" s="19"/>
    </row>
    <row r="1206" spans="23:25" ht="12.75" customHeight="1" x14ac:dyDescent="0.2">
      <c r="W1206" s="19"/>
      <c r="X1206" s="18" t="str">
        <f t="shared" si="18"/>
        <v/>
      </c>
      <c r="Y1206" s="19"/>
    </row>
    <row r="1207" spans="23:25" ht="12.75" customHeight="1" x14ac:dyDescent="0.2">
      <c r="W1207" s="19"/>
      <c r="X1207" s="18" t="str">
        <f t="shared" si="18"/>
        <v/>
      </c>
      <c r="Y1207" s="19"/>
    </row>
    <row r="1208" spans="23:25" ht="12.75" customHeight="1" x14ac:dyDescent="0.2">
      <c r="W1208" s="19"/>
      <c r="X1208" s="18" t="str">
        <f t="shared" si="18"/>
        <v/>
      </c>
      <c r="Y1208" s="19"/>
    </row>
    <row r="1209" spans="23:25" ht="12.75" customHeight="1" x14ac:dyDescent="0.2">
      <c r="W1209" s="19"/>
      <c r="X1209" s="18" t="str">
        <f t="shared" si="18"/>
        <v/>
      </c>
      <c r="Y1209" s="19"/>
    </row>
    <row r="1210" spans="23:25" ht="12.75" customHeight="1" x14ac:dyDescent="0.2">
      <c r="W1210" s="19"/>
      <c r="X1210" s="18" t="str">
        <f t="shared" si="18"/>
        <v/>
      </c>
      <c r="Y1210" s="19"/>
    </row>
    <row r="1211" spans="23:25" ht="12.75" customHeight="1" x14ac:dyDescent="0.2">
      <c r="W1211" s="19"/>
      <c r="X1211" s="18" t="str">
        <f t="shared" si="18"/>
        <v/>
      </c>
      <c r="Y1211" s="19"/>
    </row>
    <row r="1212" spans="23:25" ht="12.75" customHeight="1" x14ac:dyDescent="0.2">
      <c r="W1212" s="19"/>
      <c r="X1212" s="18" t="str">
        <f t="shared" si="18"/>
        <v/>
      </c>
      <c r="Y1212" s="19"/>
    </row>
    <row r="1213" spans="23:25" ht="12.75" customHeight="1" x14ac:dyDescent="0.2">
      <c r="W1213" s="19"/>
      <c r="X1213" s="18" t="str">
        <f t="shared" si="18"/>
        <v/>
      </c>
      <c r="Y1213" s="19"/>
    </row>
    <row r="1214" spans="23:25" ht="12.75" customHeight="1" x14ac:dyDescent="0.2">
      <c r="W1214" s="19"/>
      <c r="X1214" s="18" t="str">
        <f t="shared" si="18"/>
        <v/>
      </c>
      <c r="Y1214" s="19"/>
    </row>
    <row r="1215" spans="23:25" ht="12.75" customHeight="1" x14ac:dyDescent="0.2">
      <c r="W1215" s="19"/>
      <c r="X1215" s="18" t="str">
        <f t="shared" si="18"/>
        <v/>
      </c>
      <c r="Y1215" s="19"/>
    </row>
    <row r="1216" spans="23:25" ht="12.75" customHeight="1" x14ac:dyDescent="0.2">
      <c r="W1216" s="19"/>
      <c r="X1216" s="18" t="str">
        <f t="shared" si="18"/>
        <v/>
      </c>
      <c r="Y1216" s="19"/>
    </row>
    <row r="1217" spans="23:25" ht="12.75" customHeight="1" x14ac:dyDescent="0.2">
      <c r="W1217" s="19"/>
      <c r="X1217" s="18" t="str">
        <f t="shared" si="18"/>
        <v/>
      </c>
      <c r="Y1217" s="19"/>
    </row>
    <row r="1218" spans="23:25" ht="12.75" customHeight="1" x14ac:dyDescent="0.2">
      <c r="W1218" s="19"/>
      <c r="X1218" s="18" t="str">
        <f t="shared" si="18"/>
        <v/>
      </c>
      <c r="Y1218" s="19"/>
    </row>
    <row r="1219" spans="23:25" ht="12.75" customHeight="1" x14ac:dyDescent="0.2">
      <c r="W1219" s="19"/>
      <c r="X1219" s="18" t="str">
        <f t="shared" si="18"/>
        <v/>
      </c>
      <c r="Y1219" s="19"/>
    </row>
    <row r="1220" spans="23:25" ht="12.75" customHeight="1" x14ac:dyDescent="0.2">
      <c r="W1220" s="19"/>
      <c r="X1220" s="18" t="str">
        <f t="shared" si="18"/>
        <v/>
      </c>
      <c r="Y1220" s="19"/>
    </row>
    <row r="1221" spans="23:25" ht="12.75" customHeight="1" x14ac:dyDescent="0.2">
      <c r="W1221" s="19"/>
      <c r="X1221" s="18" t="str">
        <f t="shared" si="18"/>
        <v/>
      </c>
      <c r="Y1221" s="19"/>
    </row>
    <row r="1222" spans="23:25" ht="12.75" customHeight="1" x14ac:dyDescent="0.2">
      <c r="W1222" s="19"/>
      <c r="X1222" s="18" t="str">
        <f t="shared" si="18"/>
        <v/>
      </c>
      <c r="Y1222" s="19"/>
    </row>
    <row r="1223" spans="23:25" ht="12.75" customHeight="1" x14ac:dyDescent="0.2">
      <c r="W1223" s="19"/>
      <c r="X1223" s="18" t="str">
        <f t="shared" si="18"/>
        <v/>
      </c>
      <c r="Y1223" s="19"/>
    </row>
    <row r="1224" spans="23:25" ht="12.75" customHeight="1" x14ac:dyDescent="0.2">
      <c r="W1224" s="19"/>
      <c r="X1224" s="18" t="str">
        <f t="shared" si="18"/>
        <v/>
      </c>
      <c r="Y1224" s="19"/>
    </row>
    <row r="1225" spans="23:25" ht="12.75" customHeight="1" x14ac:dyDescent="0.2">
      <c r="W1225" s="19"/>
      <c r="X1225" s="18" t="str">
        <f t="shared" si="18"/>
        <v/>
      </c>
      <c r="Y1225" s="19"/>
    </row>
    <row r="1226" spans="23:25" ht="12.75" customHeight="1" x14ac:dyDescent="0.2">
      <c r="W1226" s="19"/>
      <c r="X1226" s="18" t="str">
        <f t="shared" ref="X1226:X1289" si="19">IF(D1226="0001","3rd Party","")</f>
        <v/>
      </c>
      <c r="Y1226" s="19"/>
    </row>
    <row r="1227" spans="23:25" ht="12.75" customHeight="1" x14ac:dyDescent="0.2">
      <c r="W1227" s="19"/>
      <c r="X1227" s="18" t="str">
        <f t="shared" si="19"/>
        <v/>
      </c>
      <c r="Y1227" s="19"/>
    </row>
    <row r="1228" spans="23:25" ht="12.75" customHeight="1" x14ac:dyDescent="0.2">
      <c r="W1228" s="19"/>
      <c r="X1228" s="18" t="str">
        <f t="shared" si="19"/>
        <v/>
      </c>
      <c r="Y1228" s="19"/>
    </row>
    <row r="1229" spans="23:25" ht="12.75" customHeight="1" x14ac:dyDescent="0.2">
      <c r="W1229" s="19"/>
      <c r="X1229" s="18" t="str">
        <f t="shared" si="19"/>
        <v/>
      </c>
      <c r="Y1229" s="19"/>
    </row>
    <row r="1230" spans="23:25" ht="12.75" customHeight="1" x14ac:dyDescent="0.2">
      <c r="W1230" s="19"/>
      <c r="X1230" s="18" t="str">
        <f t="shared" si="19"/>
        <v/>
      </c>
      <c r="Y1230" s="19"/>
    </row>
    <row r="1231" spans="23:25" ht="12.75" customHeight="1" x14ac:dyDescent="0.2">
      <c r="W1231" s="19"/>
      <c r="X1231" s="18" t="str">
        <f t="shared" si="19"/>
        <v/>
      </c>
      <c r="Y1231" s="19"/>
    </row>
    <row r="1232" spans="23:25" ht="12.75" customHeight="1" x14ac:dyDescent="0.2">
      <c r="W1232" s="19"/>
      <c r="X1232" s="18" t="str">
        <f t="shared" si="19"/>
        <v/>
      </c>
      <c r="Y1232" s="19"/>
    </row>
    <row r="1233" spans="23:25" ht="12.75" customHeight="1" x14ac:dyDescent="0.2">
      <c r="W1233" s="19"/>
      <c r="X1233" s="18" t="str">
        <f t="shared" si="19"/>
        <v/>
      </c>
      <c r="Y1233" s="19"/>
    </row>
    <row r="1234" spans="23:25" ht="12.75" customHeight="1" x14ac:dyDescent="0.2">
      <c r="W1234" s="19"/>
      <c r="X1234" s="18" t="str">
        <f t="shared" si="19"/>
        <v/>
      </c>
      <c r="Y1234" s="19"/>
    </row>
    <row r="1235" spans="23:25" ht="12.75" customHeight="1" x14ac:dyDescent="0.2">
      <c r="W1235" s="19"/>
      <c r="X1235" s="18" t="str">
        <f t="shared" si="19"/>
        <v/>
      </c>
      <c r="Y1235" s="19"/>
    </row>
    <row r="1236" spans="23:25" ht="12.75" customHeight="1" x14ac:dyDescent="0.2">
      <c r="W1236" s="19"/>
      <c r="X1236" s="18" t="str">
        <f t="shared" si="19"/>
        <v/>
      </c>
      <c r="Y1236" s="19"/>
    </row>
    <row r="1237" spans="23:25" ht="12.75" customHeight="1" x14ac:dyDescent="0.2">
      <c r="W1237" s="19"/>
      <c r="X1237" s="18" t="str">
        <f t="shared" si="19"/>
        <v/>
      </c>
      <c r="Y1237" s="19"/>
    </row>
    <row r="1238" spans="23:25" ht="12.75" customHeight="1" x14ac:dyDescent="0.2">
      <c r="W1238" s="19"/>
      <c r="X1238" s="18" t="str">
        <f t="shared" si="19"/>
        <v/>
      </c>
      <c r="Y1238" s="19"/>
    </row>
    <row r="1239" spans="23:25" ht="12.75" customHeight="1" x14ac:dyDescent="0.2">
      <c r="W1239" s="19"/>
      <c r="X1239" s="18" t="str">
        <f t="shared" si="19"/>
        <v/>
      </c>
      <c r="Y1239" s="19"/>
    </row>
    <row r="1240" spans="23:25" ht="12.75" customHeight="1" x14ac:dyDescent="0.2">
      <c r="W1240" s="19"/>
      <c r="X1240" s="18" t="str">
        <f t="shared" si="19"/>
        <v/>
      </c>
      <c r="Y1240" s="19"/>
    </row>
    <row r="1241" spans="23:25" ht="12.75" customHeight="1" x14ac:dyDescent="0.2">
      <c r="W1241" s="19"/>
      <c r="X1241" s="18" t="str">
        <f t="shared" si="19"/>
        <v/>
      </c>
      <c r="Y1241" s="19"/>
    </row>
    <row r="1242" spans="23:25" ht="12.75" customHeight="1" x14ac:dyDescent="0.2">
      <c r="W1242" s="19"/>
      <c r="X1242" s="18" t="str">
        <f t="shared" si="19"/>
        <v/>
      </c>
      <c r="Y1242" s="19"/>
    </row>
    <row r="1243" spans="23:25" ht="12.75" customHeight="1" x14ac:dyDescent="0.2">
      <c r="W1243" s="19"/>
      <c r="X1243" s="18" t="str">
        <f t="shared" si="19"/>
        <v/>
      </c>
      <c r="Y1243" s="19"/>
    </row>
    <row r="1244" spans="23:25" ht="12.75" customHeight="1" x14ac:dyDescent="0.2">
      <c r="W1244" s="19"/>
      <c r="X1244" s="18" t="str">
        <f t="shared" si="19"/>
        <v/>
      </c>
      <c r="Y1244" s="19"/>
    </row>
    <row r="1245" spans="23:25" ht="12.75" customHeight="1" x14ac:dyDescent="0.2">
      <c r="W1245" s="19"/>
      <c r="X1245" s="18" t="str">
        <f t="shared" si="19"/>
        <v/>
      </c>
      <c r="Y1245" s="19"/>
    </row>
    <row r="1246" spans="23:25" ht="12.75" customHeight="1" x14ac:dyDescent="0.2">
      <c r="W1246" s="19"/>
      <c r="X1246" s="18" t="str">
        <f t="shared" si="19"/>
        <v/>
      </c>
      <c r="Y1246" s="19"/>
    </row>
    <row r="1247" spans="23:25" ht="12.75" customHeight="1" x14ac:dyDescent="0.2">
      <c r="W1247" s="19"/>
      <c r="X1247" s="18" t="str">
        <f t="shared" si="19"/>
        <v/>
      </c>
      <c r="Y1247" s="19"/>
    </row>
    <row r="1248" spans="23:25" ht="12.75" customHeight="1" x14ac:dyDescent="0.2">
      <c r="W1248" s="19"/>
      <c r="X1248" s="18" t="str">
        <f t="shared" si="19"/>
        <v/>
      </c>
      <c r="Y1248" s="19"/>
    </row>
    <row r="1249" spans="23:25" ht="12.75" customHeight="1" x14ac:dyDescent="0.2">
      <c r="W1249" s="19"/>
      <c r="X1249" s="18" t="str">
        <f t="shared" si="19"/>
        <v/>
      </c>
      <c r="Y1249" s="19"/>
    </row>
    <row r="1250" spans="23:25" ht="12.75" customHeight="1" x14ac:dyDescent="0.2">
      <c r="W1250" s="19"/>
      <c r="X1250" s="18" t="str">
        <f t="shared" si="19"/>
        <v/>
      </c>
      <c r="Y1250" s="19"/>
    </row>
    <row r="1251" spans="23:25" ht="12.75" customHeight="1" x14ac:dyDescent="0.2">
      <c r="W1251" s="19"/>
      <c r="X1251" s="18" t="str">
        <f t="shared" si="19"/>
        <v/>
      </c>
      <c r="Y1251" s="19"/>
    </row>
    <row r="1252" spans="23:25" ht="12.75" customHeight="1" x14ac:dyDescent="0.2">
      <c r="W1252" s="19"/>
      <c r="X1252" s="18" t="str">
        <f t="shared" si="19"/>
        <v/>
      </c>
      <c r="Y1252" s="19"/>
    </row>
    <row r="1253" spans="23:25" ht="12.75" customHeight="1" x14ac:dyDescent="0.2">
      <c r="W1253" s="19"/>
      <c r="X1253" s="18" t="str">
        <f t="shared" si="19"/>
        <v/>
      </c>
      <c r="Y1253" s="19"/>
    </row>
    <row r="1254" spans="23:25" ht="12.75" customHeight="1" x14ac:dyDescent="0.2">
      <c r="W1254" s="19"/>
      <c r="X1254" s="18" t="str">
        <f t="shared" si="19"/>
        <v/>
      </c>
      <c r="Y1254" s="19"/>
    </row>
    <row r="1255" spans="23:25" ht="12.75" customHeight="1" x14ac:dyDescent="0.2">
      <c r="W1255" s="19"/>
      <c r="X1255" s="18" t="str">
        <f t="shared" si="19"/>
        <v/>
      </c>
      <c r="Y1255" s="19"/>
    </row>
    <row r="1256" spans="23:25" ht="12.75" customHeight="1" x14ac:dyDescent="0.2">
      <c r="W1256" s="19"/>
      <c r="X1256" s="18" t="str">
        <f t="shared" si="19"/>
        <v/>
      </c>
      <c r="Y1256" s="19"/>
    </row>
    <row r="1257" spans="23:25" ht="12.75" customHeight="1" x14ac:dyDescent="0.2">
      <c r="W1257" s="19"/>
      <c r="X1257" s="18" t="str">
        <f t="shared" si="19"/>
        <v/>
      </c>
      <c r="Y1257" s="19"/>
    </row>
    <row r="1258" spans="23:25" ht="12.75" customHeight="1" x14ac:dyDescent="0.2">
      <c r="W1258" s="19"/>
      <c r="X1258" s="18" t="str">
        <f t="shared" si="19"/>
        <v/>
      </c>
      <c r="Y1258" s="19"/>
    </row>
    <row r="1259" spans="23:25" ht="12.75" customHeight="1" x14ac:dyDescent="0.2">
      <c r="W1259" s="19"/>
      <c r="X1259" s="18" t="str">
        <f t="shared" si="19"/>
        <v/>
      </c>
      <c r="Y1259" s="19"/>
    </row>
    <row r="1260" spans="23:25" ht="12.75" customHeight="1" x14ac:dyDescent="0.2">
      <c r="W1260" s="19"/>
      <c r="X1260" s="18" t="str">
        <f t="shared" si="19"/>
        <v/>
      </c>
      <c r="Y1260" s="19"/>
    </row>
    <row r="1261" spans="23:25" ht="12.75" customHeight="1" x14ac:dyDescent="0.2">
      <c r="W1261" s="19"/>
      <c r="X1261" s="18" t="str">
        <f t="shared" si="19"/>
        <v/>
      </c>
      <c r="Y1261" s="19"/>
    </row>
    <row r="1262" spans="23:25" ht="12.75" customHeight="1" x14ac:dyDescent="0.2">
      <c r="W1262" s="19"/>
      <c r="X1262" s="18" t="str">
        <f t="shared" si="19"/>
        <v/>
      </c>
      <c r="Y1262" s="19"/>
    </row>
    <row r="1263" spans="23:25" ht="12.75" customHeight="1" x14ac:dyDescent="0.2">
      <c r="W1263" s="19"/>
      <c r="X1263" s="18" t="str">
        <f t="shared" si="19"/>
        <v/>
      </c>
      <c r="Y1263" s="19"/>
    </row>
    <row r="1264" spans="23:25" ht="12.75" customHeight="1" x14ac:dyDescent="0.2">
      <c r="W1264" s="19"/>
      <c r="X1264" s="18" t="str">
        <f t="shared" si="19"/>
        <v/>
      </c>
      <c r="Y1264" s="19"/>
    </row>
    <row r="1265" spans="23:25" ht="12.75" customHeight="1" x14ac:dyDescent="0.2">
      <c r="W1265" s="19"/>
      <c r="X1265" s="18" t="str">
        <f t="shared" si="19"/>
        <v/>
      </c>
      <c r="Y1265" s="19"/>
    </row>
    <row r="1266" spans="23:25" ht="12.75" customHeight="1" x14ac:dyDescent="0.2">
      <c r="W1266" s="19"/>
      <c r="X1266" s="18" t="str">
        <f t="shared" si="19"/>
        <v/>
      </c>
      <c r="Y1266" s="19"/>
    </row>
    <row r="1267" spans="23:25" ht="12.75" customHeight="1" x14ac:dyDescent="0.2">
      <c r="W1267" s="19"/>
      <c r="X1267" s="18" t="str">
        <f t="shared" si="19"/>
        <v/>
      </c>
      <c r="Y1267" s="19"/>
    </row>
    <row r="1268" spans="23:25" ht="12.75" customHeight="1" x14ac:dyDescent="0.2">
      <c r="W1268" s="19"/>
      <c r="X1268" s="18" t="str">
        <f t="shared" si="19"/>
        <v/>
      </c>
      <c r="Y1268" s="19"/>
    </row>
    <row r="1269" spans="23:25" ht="12.75" customHeight="1" x14ac:dyDescent="0.2">
      <c r="W1269" s="19"/>
      <c r="X1269" s="18" t="str">
        <f t="shared" si="19"/>
        <v/>
      </c>
      <c r="Y1269" s="19"/>
    </row>
    <row r="1270" spans="23:25" ht="12.75" customHeight="1" x14ac:dyDescent="0.2">
      <c r="W1270" s="19"/>
      <c r="X1270" s="18" t="str">
        <f t="shared" si="19"/>
        <v/>
      </c>
      <c r="Y1270" s="19"/>
    </row>
    <row r="1271" spans="23:25" ht="12.75" customHeight="1" x14ac:dyDescent="0.2">
      <c r="W1271" s="19"/>
      <c r="X1271" s="18" t="str">
        <f t="shared" si="19"/>
        <v/>
      </c>
      <c r="Y1271" s="19"/>
    </row>
    <row r="1272" spans="23:25" ht="12.75" customHeight="1" x14ac:dyDescent="0.2">
      <c r="W1272" s="19"/>
      <c r="X1272" s="18" t="str">
        <f t="shared" si="19"/>
        <v/>
      </c>
      <c r="Y1272" s="19"/>
    </row>
    <row r="1273" spans="23:25" ht="12.75" customHeight="1" x14ac:dyDescent="0.2">
      <c r="W1273" s="19"/>
      <c r="X1273" s="18" t="str">
        <f t="shared" si="19"/>
        <v/>
      </c>
      <c r="Y1273" s="19"/>
    </row>
    <row r="1274" spans="23:25" ht="12.75" customHeight="1" x14ac:dyDescent="0.2">
      <c r="W1274" s="19"/>
      <c r="X1274" s="18" t="str">
        <f t="shared" si="19"/>
        <v/>
      </c>
      <c r="Y1274" s="19"/>
    </row>
    <row r="1275" spans="23:25" ht="12.75" customHeight="1" x14ac:dyDescent="0.2">
      <c r="W1275" s="19"/>
      <c r="X1275" s="18" t="str">
        <f t="shared" si="19"/>
        <v/>
      </c>
      <c r="Y1275" s="19"/>
    </row>
    <row r="1276" spans="23:25" ht="12.75" customHeight="1" x14ac:dyDescent="0.2">
      <c r="W1276" s="19"/>
      <c r="X1276" s="18" t="str">
        <f t="shared" si="19"/>
        <v/>
      </c>
      <c r="Y1276" s="19"/>
    </row>
    <row r="1277" spans="23:25" ht="12.75" customHeight="1" x14ac:dyDescent="0.2">
      <c r="W1277" s="19"/>
      <c r="X1277" s="18" t="str">
        <f t="shared" si="19"/>
        <v/>
      </c>
      <c r="Y1277" s="19"/>
    </row>
    <row r="1278" spans="23:25" ht="12.75" customHeight="1" x14ac:dyDescent="0.2">
      <c r="W1278" s="19"/>
      <c r="X1278" s="18" t="str">
        <f t="shared" si="19"/>
        <v/>
      </c>
      <c r="Y1278" s="19"/>
    </row>
    <row r="1279" spans="23:25" ht="12.75" customHeight="1" x14ac:dyDescent="0.2">
      <c r="W1279" s="19"/>
      <c r="X1279" s="18" t="str">
        <f t="shared" si="19"/>
        <v/>
      </c>
      <c r="Y1279" s="19"/>
    </row>
    <row r="1280" spans="23:25" ht="12.75" customHeight="1" x14ac:dyDescent="0.2">
      <c r="W1280" s="19"/>
      <c r="X1280" s="18" t="str">
        <f t="shared" si="19"/>
        <v/>
      </c>
      <c r="Y1280" s="19"/>
    </row>
    <row r="1281" spans="23:25" ht="12.75" customHeight="1" x14ac:dyDescent="0.2">
      <c r="W1281" s="19"/>
      <c r="X1281" s="18" t="str">
        <f t="shared" si="19"/>
        <v/>
      </c>
      <c r="Y1281" s="19"/>
    </row>
    <row r="1282" spans="23:25" ht="12.75" customHeight="1" x14ac:dyDescent="0.2">
      <c r="W1282" s="19"/>
      <c r="X1282" s="18" t="str">
        <f t="shared" si="19"/>
        <v/>
      </c>
      <c r="Y1282" s="19"/>
    </row>
    <row r="1283" spans="23:25" ht="12.75" customHeight="1" x14ac:dyDescent="0.2">
      <c r="W1283" s="19"/>
      <c r="X1283" s="18" t="str">
        <f t="shared" si="19"/>
        <v/>
      </c>
      <c r="Y1283" s="19"/>
    </row>
    <row r="1284" spans="23:25" ht="12.75" customHeight="1" x14ac:dyDescent="0.2">
      <c r="W1284" s="19"/>
      <c r="X1284" s="18" t="str">
        <f t="shared" si="19"/>
        <v/>
      </c>
      <c r="Y1284" s="19"/>
    </row>
    <row r="1285" spans="23:25" ht="12.75" customHeight="1" x14ac:dyDescent="0.2">
      <c r="W1285" s="19"/>
      <c r="X1285" s="18" t="str">
        <f t="shared" si="19"/>
        <v/>
      </c>
      <c r="Y1285" s="19"/>
    </row>
    <row r="1286" spans="23:25" ht="12.75" customHeight="1" x14ac:dyDescent="0.2">
      <c r="W1286" s="19"/>
      <c r="X1286" s="18" t="str">
        <f t="shared" si="19"/>
        <v/>
      </c>
      <c r="Y1286" s="19"/>
    </row>
    <row r="1287" spans="23:25" ht="12.75" customHeight="1" x14ac:dyDescent="0.2">
      <c r="W1287" s="19"/>
      <c r="X1287" s="18" t="str">
        <f t="shared" si="19"/>
        <v/>
      </c>
      <c r="Y1287" s="19"/>
    </row>
    <row r="1288" spans="23:25" ht="12.75" customHeight="1" x14ac:dyDescent="0.2">
      <c r="W1288" s="19"/>
      <c r="X1288" s="18" t="str">
        <f t="shared" si="19"/>
        <v/>
      </c>
      <c r="Y1288" s="19"/>
    </row>
    <row r="1289" spans="23:25" ht="12.75" customHeight="1" x14ac:dyDescent="0.2">
      <c r="W1289" s="19"/>
      <c r="X1289" s="18" t="str">
        <f t="shared" si="19"/>
        <v/>
      </c>
      <c r="Y1289" s="19"/>
    </row>
    <row r="1290" spans="23:25" ht="12.75" customHeight="1" x14ac:dyDescent="0.2">
      <c r="W1290" s="19"/>
      <c r="X1290" s="18" t="str">
        <f t="shared" ref="X1290:X1353" si="20">IF(D1290="0001","3rd Party","")</f>
        <v/>
      </c>
      <c r="Y1290" s="19"/>
    </row>
    <row r="1291" spans="23:25" ht="12.75" customHeight="1" x14ac:dyDescent="0.2">
      <c r="W1291" s="19"/>
      <c r="X1291" s="18" t="str">
        <f t="shared" si="20"/>
        <v/>
      </c>
      <c r="Y1291" s="19"/>
    </row>
    <row r="1292" spans="23:25" ht="12.75" customHeight="1" x14ac:dyDescent="0.2">
      <c r="W1292" s="19"/>
      <c r="X1292" s="18" t="str">
        <f t="shared" si="20"/>
        <v/>
      </c>
      <c r="Y1292" s="19"/>
    </row>
    <row r="1293" spans="23:25" ht="12.75" customHeight="1" x14ac:dyDescent="0.2">
      <c r="W1293" s="19"/>
      <c r="X1293" s="18" t="str">
        <f t="shared" si="20"/>
        <v/>
      </c>
      <c r="Y1293" s="19"/>
    </row>
    <row r="1294" spans="23:25" ht="12.75" customHeight="1" x14ac:dyDescent="0.2">
      <c r="W1294" s="19"/>
      <c r="X1294" s="18" t="str">
        <f t="shared" si="20"/>
        <v/>
      </c>
      <c r="Y1294" s="19"/>
    </row>
    <row r="1295" spans="23:25" ht="12.75" customHeight="1" x14ac:dyDescent="0.2">
      <c r="W1295" s="19"/>
      <c r="X1295" s="18" t="str">
        <f t="shared" si="20"/>
        <v/>
      </c>
      <c r="Y1295" s="19"/>
    </row>
    <row r="1296" spans="23:25" ht="12.75" customHeight="1" x14ac:dyDescent="0.2">
      <c r="W1296" s="19"/>
      <c r="X1296" s="18" t="str">
        <f t="shared" si="20"/>
        <v/>
      </c>
      <c r="Y1296" s="19"/>
    </row>
    <row r="1297" spans="23:25" ht="12.75" customHeight="1" x14ac:dyDescent="0.2">
      <c r="W1297" s="19"/>
      <c r="X1297" s="18" t="str">
        <f t="shared" si="20"/>
        <v/>
      </c>
      <c r="Y1297" s="19"/>
    </row>
    <row r="1298" spans="23:25" ht="12.75" customHeight="1" x14ac:dyDescent="0.2">
      <c r="W1298" s="19"/>
      <c r="X1298" s="18" t="str">
        <f t="shared" si="20"/>
        <v/>
      </c>
      <c r="Y1298" s="19"/>
    </row>
    <row r="1299" spans="23:25" ht="12.75" customHeight="1" x14ac:dyDescent="0.2">
      <c r="W1299" s="19"/>
      <c r="X1299" s="18" t="str">
        <f t="shared" si="20"/>
        <v/>
      </c>
      <c r="Y1299" s="19"/>
    </row>
    <row r="1300" spans="23:25" ht="12.75" customHeight="1" x14ac:dyDescent="0.2">
      <c r="W1300" s="19"/>
      <c r="X1300" s="18" t="str">
        <f t="shared" si="20"/>
        <v/>
      </c>
      <c r="Y1300" s="19"/>
    </row>
    <row r="1301" spans="23:25" ht="12.75" customHeight="1" x14ac:dyDescent="0.2">
      <c r="W1301" s="19"/>
      <c r="X1301" s="18" t="str">
        <f t="shared" si="20"/>
        <v/>
      </c>
      <c r="Y1301" s="19"/>
    </row>
    <row r="1302" spans="23:25" ht="12.75" customHeight="1" x14ac:dyDescent="0.2">
      <c r="W1302" s="19"/>
      <c r="X1302" s="18" t="str">
        <f t="shared" si="20"/>
        <v/>
      </c>
      <c r="Y1302" s="19"/>
    </row>
    <row r="1303" spans="23:25" ht="12.75" customHeight="1" x14ac:dyDescent="0.2">
      <c r="W1303" s="19"/>
      <c r="X1303" s="18" t="str">
        <f t="shared" si="20"/>
        <v/>
      </c>
      <c r="Y1303" s="19"/>
    </row>
    <row r="1304" spans="23:25" ht="12.75" customHeight="1" x14ac:dyDescent="0.2">
      <c r="W1304" s="19"/>
      <c r="X1304" s="18" t="str">
        <f t="shared" si="20"/>
        <v/>
      </c>
      <c r="Y1304" s="19"/>
    </row>
    <row r="1305" spans="23:25" ht="12.75" customHeight="1" x14ac:dyDescent="0.2">
      <c r="W1305" s="19"/>
      <c r="X1305" s="18" t="str">
        <f t="shared" si="20"/>
        <v/>
      </c>
      <c r="Y1305" s="19"/>
    </row>
    <row r="1306" spans="23:25" ht="12.75" customHeight="1" x14ac:dyDescent="0.2">
      <c r="W1306" s="19"/>
      <c r="X1306" s="18" t="str">
        <f t="shared" si="20"/>
        <v/>
      </c>
      <c r="Y1306" s="19"/>
    </row>
    <row r="1307" spans="23:25" ht="12.75" customHeight="1" x14ac:dyDescent="0.2">
      <c r="W1307" s="19"/>
      <c r="X1307" s="18" t="str">
        <f t="shared" si="20"/>
        <v/>
      </c>
      <c r="Y1307" s="19"/>
    </row>
    <row r="1308" spans="23:25" ht="12.75" customHeight="1" x14ac:dyDescent="0.2">
      <c r="W1308" s="19"/>
      <c r="X1308" s="18" t="str">
        <f t="shared" si="20"/>
        <v/>
      </c>
      <c r="Y1308" s="19"/>
    </row>
    <row r="1309" spans="23:25" ht="12.75" customHeight="1" x14ac:dyDescent="0.2">
      <c r="W1309" s="19"/>
      <c r="X1309" s="18" t="str">
        <f t="shared" si="20"/>
        <v/>
      </c>
      <c r="Y1309" s="19"/>
    </row>
    <row r="1310" spans="23:25" ht="12.75" customHeight="1" x14ac:dyDescent="0.2">
      <c r="W1310" s="19"/>
      <c r="X1310" s="18" t="str">
        <f t="shared" si="20"/>
        <v/>
      </c>
      <c r="Y1310" s="19"/>
    </row>
    <row r="1311" spans="23:25" ht="12.75" customHeight="1" x14ac:dyDescent="0.2">
      <c r="W1311" s="19"/>
      <c r="X1311" s="18" t="str">
        <f t="shared" si="20"/>
        <v/>
      </c>
      <c r="Y1311" s="19"/>
    </row>
    <row r="1312" spans="23:25" ht="12.75" customHeight="1" x14ac:dyDescent="0.2">
      <c r="W1312" s="19"/>
      <c r="X1312" s="18" t="str">
        <f t="shared" si="20"/>
        <v/>
      </c>
      <c r="Y1312" s="19"/>
    </row>
    <row r="1313" spans="23:25" ht="12.75" customHeight="1" x14ac:dyDescent="0.2">
      <c r="W1313" s="19"/>
      <c r="X1313" s="18" t="str">
        <f t="shared" si="20"/>
        <v/>
      </c>
      <c r="Y1313" s="19"/>
    </row>
    <row r="1314" spans="23:25" ht="12.75" customHeight="1" x14ac:dyDescent="0.2">
      <c r="W1314" s="19"/>
      <c r="X1314" s="18" t="str">
        <f t="shared" si="20"/>
        <v/>
      </c>
      <c r="Y1314" s="19"/>
    </row>
    <row r="1315" spans="23:25" ht="12.75" customHeight="1" x14ac:dyDescent="0.2">
      <c r="W1315" s="19"/>
      <c r="X1315" s="18" t="str">
        <f t="shared" si="20"/>
        <v/>
      </c>
      <c r="Y1315" s="19"/>
    </row>
    <row r="1316" spans="23:25" ht="12.75" customHeight="1" x14ac:dyDescent="0.2">
      <c r="W1316" s="19"/>
      <c r="X1316" s="18" t="str">
        <f t="shared" si="20"/>
        <v/>
      </c>
      <c r="Y1316" s="19"/>
    </row>
    <row r="1317" spans="23:25" ht="12.75" customHeight="1" x14ac:dyDescent="0.2">
      <c r="W1317" s="19"/>
      <c r="X1317" s="18" t="str">
        <f t="shared" si="20"/>
        <v/>
      </c>
      <c r="Y1317" s="19"/>
    </row>
    <row r="1318" spans="23:25" ht="12.75" customHeight="1" x14ac:dyDescent="0.2">
      <c r="W1318" s="19"/>
      <c r="X1318" s="18" t="str">
        <f t="shared" si="20"/>
        <v/>
      </c>
      <c r="Y1318" s="19"/>
    </row>
    <row r="1319" spans="23:25" ht="12.75" customHeight="1" x14ac:dyDescent="0.2">
      <c r="W1319" s="19"/>
      <c r="X1319" s="18" t="str">
        <f t="shared" si="20"/>
        <v/>
      </c>
      <c r="Y1319" s="19"/>
    </row>
    <row r="1320" spans="23:25" ht="12.75" customHeight="1" x14ac:dyDescent="0.2">
      <c r="W1320" s="19"/>
      <c r="X1320" s="18" t="str">
        <f t="shared" si="20"/>
        <v/>
      </c>
      <c r="Y1320" s="19"/>
    </row>
    <row r="1321" spans="23:25" ht="12.75" customHeight="1" x14ac:dyDescent="0.2">
      <c r="W1321" s="19"/>
      <c r="X1321" s="18" t="str">
        <f t="shared" si="20"/>
        <v/>
      </c>
      <c r="Y1321" s="19"/>
    </row>
    <row r="1322" spans="23:25" ht="12.75" customHeight="1" x14ac:dyDescent="0.2">
      <c r="W1322" s="19"/>
      <c r="X1322" s="18" t="str">
        <f t="shared" si="20"/>
        <v/>
      </c>
      <c r="Y1322" s="19"/>
    </row>
    <row r="1323" spans="23:25" ht="12.75" customHeight="1" x14ac:dyDescent="0.2">
      <c r="W1323" s="19"/>
      <c r="X1323" s="18" t="str">
        <f t="shared" si="20"/>
        <v/>
      </c>
      <c r="Y1323" s="19"/>
    </row>
    <row r="1324" spans="23:25" ht="12.75" customHeight="1" x14ac:dyDescent="0.2">
      <c r="W1324" s="19"/>
      <c r="X1324" s="18" t="str">
        <f t="shared" si="20"/>
        <v/>
      </c>
      <c r="Y1324" s="19"/>
    </row>
    <row r="1325" spans="23:25" ht="12.75" customHeight="1" x14ac:dyDescent="0.2">
      <c r="W1325" s="19"/>
      <c r="X1325" s="18" t="str">
        <f t="shared" si="20"/>
        <v/>
      </c>
      <c r="Y1325" s="19"/>
    </row>
    <row r="1326" spans="23:25" ht="12.75" customHeight="1" x14ac:dyDescent="0.2">
      <c r="W1326" s="19"/>
      <c r="X1326" s="18" t="str">
        <f t="shared" si="20"/>
        <v/>
      </c>
      <c r="Y1326" s="19"/>
    </row>
    <row r="1327" spans="23:25" ht="12.75" customHeight="1" x14ac:dyDescent="0.2">
      <c r="W1327" s="19"/>
      <c r="X1327" s="18" t="str">
        <f t="shared" si="20"/>
        <v/>
      </c>
      <c r="Y1327" s="19"/>
    </row>
    <row r="1328" spans="23:25" ht="12.75" customHeight="1" x14ac:dyDescent="0.2">
      <c r="W1328" s="19"/>
      <c r="X1328" s="18" t="str">
        <f t="shared" si="20"/>
        <v/>
      </c>
      <c r="Y1328" s="19"/>
    </row>
    <row r="1329" spans="23:25" ht="12.75" customHeight="1" x14ac:dyDescent="0.2">
      <c r="W1329" s="19"/>
      <c r="X1329" s="18" t="str">
        <f t="shared" si="20"/>
        <v/>
      </c>
      <c r="Y1329" s="19"/>
    </row>
    <row r="1330" spans="23:25" ht="12.75" customHeight="1" x14ac:dyDescent="0.2">
      <c r="W1330" s="19"/>
      <c r="X1330" s="18" t="str">
        <f t="shared" si="20"/>
        <v/>
      </c>
      <c r="Y1330" s="19"/>
    </row>
    <row r="1331" spans="23:25" ht="12.75" customHeight="1" x14ac:dyDescent="0.2">
      <c r="W1331" s="19"/>
      <c r="X1331" s="18" t="str">
        <f t="shared" si="20"/>
        <v/>
      </c>
      <c r="Y1331" s="19"/>
    </row>
    <row r="1332" spans="23:25" ht="12.75" customHeight="1" x14ac:dyDescent="0.2">
      <c r="W1332" s="19"/>
      <c r="X1332" s="18" t="str">
        <f t="shared" si="20"/>
        <v/>
      </c>
      <c r="Y1332" s="19"/>
    </row>
    <row r="1333" spans="23:25" ht="12.75" customHeight="1" x14ac:dyDescent="0.2">
      <c r="W1333" s="19"/>
      <c r="X1333" s="18" t="str">
        <f t="shared" si="20"/>
        <v/>
      </c>
      <c r="Y1333" s="19"/>
    </row>
    <row r="1334" spans="23:25" ht="12.75" customHeight="1" x14ac:dyDescent="0.2">
      <c r="W1334" s="19"/>
      <c r="X1334" s="18" t="str">
        <f t="shared" si="20"/>
        <v/>
      </c>
      <c r="Y1334" s="19"/>
    </row>
    <row r="1335" spans="23:25" ht="12.75" customHeight="1" x14ac:dyDescent="0.2">
      <c r="W1335" s="19"/>
      <c r="X1335" s="18" t="str">
        <f t="shared" si="20"/>
        <v/>
      </c>
      <c r="Y1335" s="19"/>
    </row>
    <row r="1336" spans="23:25" ht="12.75" customHeight="1" x14ac:dyDescent="0.2">
      <c r="W1336" s="19"/>
      <c r="X1336" s="18" t="str">
        <f t="shared" si="20"/>
        <v/>
      </c>
      <c r="Y1336" s="19"/>
    </row>
    <row r="1337" spans="23:25" ht="12.75" customHeight="1" x14ac:dyDescent="0.2">
      <c r="W1337" s="19"/>
      <c r="X1337" s="18" t="str">
        <f t="shared" si="20"/>
        <v/>
      </c>
      <c r="Y1337" s="19"/>
    </row>
    <row r="1338" spans="23:25" ht="12.75" customHeight="1" x14ac:dyDescent="0.2">
      <c r="W1338" s="19"/>
      <c r="X1338" s="18" t="str">
        <f t="shared" si="20"/>
        <v/>
      </c>
      <c r="Y1338" s="19"/>
    </row>
    <row r="1339" spans="23:25" ht="12.75" customHeight="1" x14ac:dyDescent="0.2">
      <c r="W1339" s="19"/>
      <c r="X1339" s="18" t="str">
        <f t="shared" si="20"/>
        <v/>
      </c>
      <c r="Y1339" s="19"/>
    </row>
    <row r="1340" spans="23:25" ht="12.75" customHeight="1" x14ac:dyDescent="0.2">
      <c r="W1340" s="19"/>
      <c r="X1340" s="18" t="str">
        <f t="shared" si="20"/>
        <v/>
      </c>
      <c r="Y1340" s="19"/>
    </row>
    <row r="1341" spans="23:25" ht="12.75" customHeight="1" x14ac:dyDescent="0.2">
      <c r="W1341" s="19"/>
      <c r="X1341" s="18" t="str">
        <f t="shared" si="20"/>
        <v/>
      </c>
      <c r="Y1341" s="19"/>
    </row>
    <row r="1342" spans="23:25" ht="12.75" customHeight="1" x14ac:dyDescent="0.2">
      <c r="W1342" s="19"/>
      <c r="X1342" s="18" t="str">
        <f t="shared" si="20"/>
        <v/>
      </c>
      <c r="Y1342" s="19"/>
    </row>
    <row r="1343" spans="23:25" ht="12.75" customHeight="1" x14ac:dyDescent="0.2">
      <c r="W1343" s="19"/>
      <c r="X1343" s="18" t="str">
        <f t="shared" si="20"/>
        <v/>
      </c>
      <c r="Y1343" s="19"/>
    </row>
    <row r="1344" spans="23:25" ht="12.75" customHeight="1" x14ac:dyDescent="0.2">
      <c r="W1344" s="19"/>
      <c r="X1344" s="18" t="str">
        <f t="shared" si="20"/>
        <v/>
      </c>
      <c r="Y1344" s="19"/>
    </row>
    <row r="1345" spans="23:25" ht="12.75" customHeight="1" x14ac:dyDescent="0.2">
      <c r="W1345" s="19"/>
      <c r="X1345" s="18" t="str">
        <f t="shared" si="20"/>
        <v/>
      </c>
      <c r="Y1345" s="19"/>
    </row>
    <row r="1346" spans="23:25" ht="12.75" customHeight="1" x14ac:dyDescent="0.2">
      <c r="W1346" s="19"/>
      <c r="X1346" s="18" t="str">
        <f t="shared" si="20"/>
        <v/>
      </c>
      <c r="Y1346" s="19"/>
    </row>
    <row r="1347" spans="23:25" ht="12.75" customHeight="1" x14ac:dyDescent="0.2">
      <c r="W1347" s="19"/>
      <c r="X1347" s="18" t="str">
        <f t="shared" si="20"/>
        <v/>
      </c>
      <c r="Y1347" s="19"/>
    </row>
    <row r="1348" spans="23:25" ht="12.75" customHeight="1" x14ac:dyDescent="0.2">
      <c r="W1348" s="19"/>
      <c r="X1348" s="18" t="str">
        <f t="shared" si="20"/>
        <v/>
      </c>
      <c r="Y1348" s="19"/>
    </row>
    <row r="1349" spans="23:25" ht="12.75" customHeight="1" x14ac:dyDescent="0.2">
      <c r="W1349" s="19"/>
      <c r="X1349" s="18" t="str">
        <f t="shared" si="20"/>
        <v/>
      </c>
      <c r="Y1349" s="19"/>
    </row>
    <row r="1350" spans="23:25" ht="12.75" customHeight="1" x14ac:dyDescent="0.2">
      <c r="W1350" s="19"/>
      <c r="X1350" s="18" t="str">
        <f t="shared" si="20"/>
        <v/>
      </c>
      <c r="Y1350" s="19"/>
    </row>
    <row r="1351" spans="23:25" ht="12.75" customHeight="1" x14ac:dyDescent="0.2">
      <c r="W1351" s="19"/>
      <c r="X1351" s="18" t="str">
        <f t="shared" si="20"/>
        <v/>
      </c>
      <c r="Y1351" s="19"/>
    </row>
    <row r="1352" spans="23:25" ht="12.75" customHeight="1" x14ac:dyDescent="0.2">
      <c r="W1352" s="19"/>
      <c r="X1352" s="18" t="str">
        <f t="shared" si="20"/>
        <v/>
      </c>
      <c r="Y1352" s="19"/>
    </row>
    <row r="1353" spans="23:25" ht="12.75" customHeight="1" x14ac:dyDescent="0.2">
      <c r="W1353" s="19"/>
      <c r="X1353" s="18" t="str">
        <f t="shared" si="20"/>
        <v/>
      </c>
      <c r="Y1353" s="19"/>
    </row>
    <row r="1354" spans="23:25" ht="12.75" customHeight="1" x14ac:dyDescent="0.2">
      <c r="W1354" s="19"/>
      <c r="X1354" s="18" t="str">
        <f t="shared" ref="X1354:X1417" si="21">IF(D1354="0001","3rd Party","")</f>
        <v/>
      </c>
      <c r="Y1354" s="19"/>
    </row>
    <row r="1355" spans="23:25" ht="12.75" customHeight="1" x14ac:dyDescent="0.2">
      <c r="W1355" s="19"/>
      <c r="X1355" s="18" t="str">
        <f t="shared" si="21"/>
        <v/>
      </c>
      <c r="Y1355" s="19"/>
    </row>
    <row r="1356" spans="23:25" ht="12.75" customHeight="1" x14ac:dyDescent="0.2">
      <c r="W1356" s="19"/>
      <c r="X1356" s="18" t="str">
        <f t="shared" si="21"/>
        <v/>
      </c>
      <c r="Y1356" s="19"/>
    </row>
    <row r="1357" spans="23:25" ht="12.75" customHeight="1" x14ac:dyDescent="0.2">
      <c r="W1357" s="19"/>
      <c r="X1357" s="18" t="str">
        <f t="shared" si="21"/>
        <v/>
      </c>
      <c r="Y1357" s="19"/>
    </row>
    <row r="1358" spans="23:25" ht="12.75" customHeight="1" x14ac:dyDescent="0.2">
      <c r="W1358" s="19"/>
      <c r="X1358" s="18" t="str">
        <f t="shared" si="21"/>
        <v/>
      </c>
      <c r="Y1358" s="19"/>
    </row>
    <row r="1359" spans="23:25" ht="12.75" customHeight="1" x14ac:dyDescent="0.2">
      <c r="W1359" s="19"/>
      <c r="X1359" s="18" t="str">
        <f t="shared" si="21"/>
        <v/>
      </c>
      <c r="Y1359" s="19"/>
    </row>
    <row r="1360" spans="23:25" ht="12.75" customHeight="1" x14ac:dyDescent="0.2">
      <c r="W1360" s="19"/>
      <c r="X1360" s="18" t="str">
        <f t="shared" si="21"/>
        <v/>
      </c>
      <c r="Y1360" s="19"/>
    </row>
    <row r="1361" spans="23:25" ht="12.75" customHeight="1" x14ac:dyDescent="0.2">
      <c r="W1361" s="19"/>
      <c r="X1361" s="18" t="str">
        <f t="shared" si="21"/>
        <v/>
      </c>
      <c r="Y1361" s="19"/>
    </row>
    <row r="1362" spans="23:25" ht="12.75" customHeight="1" x14ac:dyDescent="0.2">
      <c r="W1362" s="19"/>
      <c r="X1362" s="18" t="str">
        <f t="shared" si="21"/>
        <v/>
      </c>
      <c r="Y1362" s="19"/>
    </row>
    <row r="1363" spans="23:25" ht="12.75" customHeight="1" x14ac:dyDescent="0.2">
      <c r="W1363" s="19"/>
      <c r="X1363" s="18" t="str">
        <f t="shared" si="21"/>
        <v/>
      </c>
      <c r="Y1363" s="19"/>
    </row>
    <row r="1364" spans="23:25" ht="12.75" customHeight="1" x14ac:dyDescent="0.2">
      <c r="W1364" s="19"/>
      <c r="X1364" s="18" t="str">
        <f t="shared" si="21"/>
        <v/>
      </c>
      <c r="Y1364" s="19"/>
    </row>
    <row r="1365" spans="23:25" ht="12.75" customHeight="1" x14ac:dyDescent="0.2">
      <c r="W1365" s="19"/>
      <c r="X1365" s="18" t="str">
        <f t="shared" si="21"/>
        <v/>
      </c>
      <c r="Y1365" s="19"/>
    </row>
    <row r="1366" spans="23:25" ht="12.75" customHeight="1" x14ac:dyDescent="0.2">
      <c r="W1366" s="19"/>
      <c r="X1366" s="18" t="str">
        <f t="shared" si="21"/>
        <v/>
      </c>
      <c r="Y1366" s="19"/>
    </row>
    <row r="1367" spans="23:25" ht="12.75" customHeight="1" x14ac:dyDescent="0.2">
      <c r="W1367" s="19"/>
      <c r="X1367" s="18" t="str">
        <f t="shared" si="21"/>
        <v/>
      </c>
      <c r="Y1367" s="19"/>
    </row>
    <row r="1368" spans="23:25" ht="12.75" customHeight="1" x14ac:dyDescent="0.2">
      <c r="W1368" s="19"/>
      <c r="X1368" s="18" t="str">
        <f t="shared" si="21"/>
        <v/>
      </c>
      <c r="Y1368" s="19"/>
    </row>
    <row r="1369" spans="23:25" ht="12.75" customHeight="1" x14ac:dyDescent="0.2">
      <c r="W1369" s="19"/>
      <c r="X1369" s="18" t="str">
        <f t="shared" si="21"/>
        <v/>
      </c>
      <c r="Y1369" s="19"/>
    </row>
    <row r="1370" spans="23:25" ht="12.75" customHeight="1" x14ac:dyDescent="0.2">
      <c r="W1370" s="19"/>
      <c r="X1370" s="18" t="str">
        <f t="shared" si="21"/>
        <v/>
      </c>
      <c r="Y1370" s="19"/>
    </row>
    <row r="1371" spans="23:25" ht="12.75" customHeight="1" x14ac:dyDescent="0.2">
      <c r="W1371" s="19"/>
      <c r="X1371" s="18" t="str">
        <f t="shared" si="21"/>
        <v/>
      </c>
      <c r="Y1371" s="19"/>
    </row>
    <row r="1372" spans="23:25" ht="12.75" customHeight="1" x14ac:dyDescent="0.2">
      <c r="W1372" s="19"/>
      <c r="X1372" s="18" t="str">
        <f t="shared" si="21"/>
        <v/>
      </c>
      <c r="Y1372" s="19"/>
    </row>
    <row r="1373" spans="23:25" ht="12.75" customHeight="1" x14ac:dyDescent="0.2">
      <c r="W1373" s="19"/>
      <c r="X1373" s="18" t="str">
        <f t="shared" si="21"/>
        <v/>
      </c>
      <c r="Y1373" s="19"/>
    </row>
    <row r="1374" spans="23:25" ht="12.75" customHeight="1" x14ac:dyDescent="0.2">
      <c r="W1374" s="19"/>
      <c r="X1374" s="18" t="str">
        <f t="shared" si="21"/>
        <v/>
      </c>
      <c r="Y1374" s="19"/>
    </row>
    <row r="1375" spans="23:25" ht="12.75" customHeight="1" x14ac:dyDescent="0.2">
      <c r="W1375" s="19"/>
      <c r="X1375" s="18" t="str">
        <f t="shared" si="21"/>
        <v/>
      </c>
      <c r="Y1375" s="19"/>
    </row>
    <row r="1376" spans="23:25" ht="12.75" customHeight="1" x14ac:dyDescent="0.2">
      <c r="W1376" s="19"/>
      <c r="X1376" s="18" t="str">
        <f t="shared" si="21"/>
        <v/>
      </c>
      <c r="Y1376" s="19"/>
    </row>
    <row r="1377" spans="23:25" ht="12.75" customHeight="1" x14ac:dyDescent="0.2">
      <c r="W1377" s="19"/>
      <c r="X1377" s="18" t="str">
        <f t="shared" si="21"/>
        <v/>
      </c>
      <c r="Y1377" s="19"/>
    </row>
    <row r="1378" spans="23:25" ht="12.75" customHeight="1" x14ac:dyDescent="0.2">
      <c r="W1378" s="19"/>
      <c r="X1378" s="18" t="str">
        <f t="shared" si="21"/>
        <v/>
      </c>
      <c r="Y1378" s="19"/>
    </row>
    <row r="1379" spans="23:25" ht="12.75" customHeight="1" x14ac:dyDescent="0.2">
      <c r="W1379" s="19"/>
      <c r="X1379" s="18" t="str">
        <f t="shared" si="21"/>
        <v/>
      </c>
      <c r="Y1379" s="19"/>
    </row>
    <row r="1380" spans="23:25" ht="12.75" customHeight="1" x14ac:dyDescent="0.2">
      <c r="W1380" s="19"/>
      <c r="X1380" s="18" t="str">
        <f t="shared" si="21"/>
        <v/>
      </c>
      <c r="Y1380" s="19"/>
    </row>
    <row r="1381" spans="23:25" ht="12.75" customHeight="1" x14ac:dyDescent="0.2">
      <c r="W1381" s="19"/>
      <c r="X1381" s="18" t="str">
        <f t="shared" si="21"/>
        <v/>
      </c>
      <c r="Y1381" s="19"/>
    </row>
    <row r="1382" spans="23:25" ht="12.75" customHeight="1" x14ac:dyDescent="0.2">
      <c r="W1382" s="19"/>
      <c r="X1382" s="18" t="str">
        <f t="shared" si="21"/>
        <v/>
      </c>
      <c r="Y1382" s="19"/>
    </row>
    <row r="1383" spans="23:25" ht="12.75" customHeight="1" x14ac:dyDescent="0.2">
      <c r="W1383" s="19"/>
      <c r="X1383" s="18" t="str">
        <f t="shared" si="21"/>
        <v/>
      </c>
      <c r="Y1383" s="19"/>
    </row>
    <row r="1384" spans="23:25" ht="12.75" customHeight="1" x14ac:dyDescent="0.2">
      <c r="W1384" s="19"/>
      <c r="X1384" s="18" t="str">
        <f t="shared" si="21"/>
        <v/>
      </c>
      <c r="Y1384" s="19"/>
    </row>
    <row r="1385" spans="23:25" ht="12.75" customHeight="1" x14ac:dyDescent="0.2">
      <c r="W1385" s="19"/>
      <c r="X1385" s="18" t="str">
        <f t="shared" si="21"/>
        <v/>
      </c>
      <c r="Y1385" s="19"/>
    </row>
    <row r="1386" spans="23:25" ht="12.75" customHeight="1" x14ac:dyDescent="0.2">
      <c r="W1386" s="19"/>
      <c r="X1386" s="18" t="str">
        <f t="shared" si="21"/>
        <v/>
      </c>
      <c r="Y1386" s="19"/>
    </row>
    <row r="1387" spans="23:25" ht="12.75" customHeight="1" x14ac:dyDescent="0.2">
      <c r="W1387" s="19"/>
      <c r="X1387" s="18" t="str">
        <f t="shared" si="21"/>
        <v/>
      </c>
      <c r="Y1387" s="19"/>
    </row>
    <row r="1388" spans="23:25" ht="12.75" customHeight="1" x14ac:dyDescent="0.2">
      <c r="W1388" s="19"/>
      <c r="X1388" s="18" t="str">
        <f t="shared" si="21"/>
        <v/>
      </c>
      <c r="Y1388" s="19"/>
    </row>
    <row r="1389" spans="23:25" ht="12.75" customHeight="1" x14ac:dyDescent="0.2">
      <c r="W1389" s="19"/>
      <c r="X1389" s="18" t="str">
        <f t="shared" si="21"/>
        <v/>
      </c>
      <c r="Y1389" s="19"/>
    </row>
    <row r="1390" spans="23:25" ht="12.75" customHeight="1" x14ac:dyDescent="0.2">
      <c r="W1390" s="19"/>
      <c r="X1390" s="18" t="str">
        <f t="shared" si="21"/>
        <v/>
      </c>
      <c r="Y1390" s="19"/>
    </row>
    <row r="1391" spans="23:25" ht="12.75" customHeight="1" x14ac:dyDescent="0.2">
      <c r="W1391" s="19"/>
      <c r="X1391" s="18" t="str">
        <f t="shared" si="21"/>
        <v/>
      </c>
      <c r="Y1391" s="19"/>
    </row>
    <row r="1392" spans="23:25" ht="12.75" customHeight="1" x14ac:dyDescent="0.2">
      <c r="W1392" s="19"/>
      <c r="X1392" s="18" t="str">
        <f t="shared" si="21"/>
        <v/>
      </c>
      <c r="Y1392" s="19"/>
    </row>
    <row r="1393" spans="23:25" ht="12.75" customHeight="1" x14ac:dyDescent="0.2">
      <c r="W1393" s="19"/>
      <c r="X1393" s="18" t="str">
        <f t="shared" si="21"/>
        <v/>
      </c>
      <c r="Y1393" s="19"/>
    </row>
    <row r="1394" spans="23:25" ht="12.75" customHeight="1" x14ac:dyDescent="0.2">
      <c r="W1394" s="19"/>
      <c r="X1394" s="18" t="str">
        <f t="shared" si="21"/>
        <v/>
      </c>
      <c r="Y1394" s="19"/>
    </row>
    <row r="1395" spans="23:25" ht="12.75" customHeight="1" x14ac:dyDescent="0.2">
      <c r="W1395" s="19"/>
      <c r="X1395" s="18" t="str">
        <f t="shared" si="21"/>
        <v/>
      </c>
      <c r="Y1395" s="19"/>
    </row>
    <row r="1396" spans="23:25" ht="12.75" customHeight="1" x14ac:dyDescent="0.2">
      <c r="W1396" s="19"/>
      <c r="X1396" s="18" t="str">
        <f t="shared" si="21"/>
        <v/>
      </c>
      <c r="Y1396" s="19"/>
    </row>
    <row r="1397" spans="23:25" ht="12.75" customHeight="1" x14ac:dyDescent="0.2">
      <c r="W1397" s="19"/>
      <c r="X1397" s="18" t="str">
        <f t="shared" si="21"/>
        <v/>
      </c>
      <c r="Y1397" s="19"/>
    </row>
    <row r="1398" spans="23:25" ht="12.75" customHeight="1" x14ac:dyDescent="0.2">
      <c r="W1398" s="19"/>
      <c r="X1398" s="18" t="str">
        <f t="shared" si="21"/>
        <v/>
      </c>
      <c r="Y1398" s="19"/>
    </row>
    <row r="1399" spans="23:25" ht="12.75" customHeight="1" x14ac:dyDescent="0.2">
      <c r="W1399" s="19"/>
      <c r="X1399" s="18" t="str">
        <f t="shared" si="21"/>
        <v/>
      </c>
      <c r="Y1399" s="19"/>
    </row>
    <row r="1400" spans="23:25" ht="12.75" customHeight="1" x14ac:dyDescent="0.2">
      <c r="W1400" s="19"/>
      <c r="X1400" s="18" t="str">
        <f t="shared" si="21"/>
        <v/>
      </c>
      <c r="Y1400" s="19"/>
    </row>
    <row r="1401" spans="23:25" ht="12.75" customHeight="1" x14ac:dyDescent="0.2">
      <c r="W1401" s="19"/>
      <c r="X1401" s="18" t="str">
        <f t="shared" si="21"/>
        <v/>
      </c>
      <c r="Y1401" s="19"/>
    </row>
    <row r="1402" spans="23:25" ht="12.75" customHeight="1" x14ac:dyDescent="0.2">
      <c r="W1402" s="19"/>
      <c r="X1402" s="18" t="str">
        <f t="shared" si="21"/>
        <v/>
      </c>
      <c r="Y1402" s="19"/>
    </row>
    <row r="1403" spans="23:25" ht="12.75" customHeight="1" x14ac:dyDescent="0.2">
      <c r="W1403" s="19"/>
      <c r="X1403" s="18" t="str">
        <f t="shared" si="21"/>
        <v/>
      </c>
      <c r="Y1403" s="19"/>
    </row>
    <row r="1404" spans="23:25" ht="12.75" customHeight="1" x14ac:dyDescent="0.2">
      <c r="W1404" s="19"/>
      <c r="X1404" s="18" t="str">
        <f t="shared" si="21"/>
        <v/>
      </c>
      <c r="Y1404" s="19"/>
    </row>
    <row r="1405" spans="23:25" ht="12.75" customHeight="1" x14ac:dyDescent="0.2">
      <c r="W1405" s="19"/>
      <c r="X1405" s="18" t="str">
        <f t="shared" si="21"/>
        <v/>
      </c>
      <c r="Y1405" s="19"/>
    </row>
    <row r="1406" spans="23:25" ht="12.75" customHeight="1" x14ac:dyDescent="0.2">
      <c r="W1406" s="19"/>
      <c r="X1406" s="18" t="str">
        <f t="shared" si="21"/>
        <v/>
      </c>
      <c r="Y1406" s="19"/>
    </row>
    <row r="1407" spans="23:25" ht="12.75" customHeight="1" x14ac:dyDescent="0.2">
      <c r="W1407" s="19"/>
      <c r="X1407" s="18" t="str">
        <f t="shared" si="21"/>
        <v/>
      </c>
      <c r="Y1407" s="19"/>
    </row>
    <row r="1408" spans="23:25" ht="12.75" customHeight="1" x14ac:dyDescent="0.2">
      <c r="W1408" s="19"/>
      <c r="X1408" s="18" t="str">
        <f t="shared" si="21"/>
        <v/>
      </c>
      <c r="Y1408" s="19"/>
    </row>
    <row r="1409" spans="23:25" ht="12.75" customHeight="1" x14ac:dyDescent="0.2">
      <c r="W1409" s="19"/>
      <c r="X1409" s="18" t="str">
        <f t="shared" si="21"/>
        <v/>
      </c>
      <c r="Y1409" s="19"/>
    </row>
    <row r="1410" spans="23:25" ht="12.75" customHeight="1" x14ac:dyDescent="0.2">
      <c r="W1410" s="19"/>
      <c r="X1410" s="18" t="str">
        <f t="shared" si="21"/>
        <v/>
      </c>
      <c r="Y1410" s="19"/>
    </row>
    <row r="1411" spans="23:25" ht="12.75" customHeight="1" x14ac:dyDescent="0.2">
      <c r="W1411" s="19"/>
      <c r="X1411" s="18" t="str">
        <f t="shared" si="21"/>
        <v/>
      </c>
      <c r="Y1411" s="19"/>
    </row>
    <row r="1412" spans="23:25" ht="12.75" customHeight="1" x14ac:dyDescent="0.2">
      <c r="W1412" s="19"/>
      <c r="X1412" s="18" t="str">
        <f t="shared" si="21"/>
        <v/>
      </c>
      <c r="Y1412" s="19"/>
    </row>
    <row r="1413" spans="23:25" ht="12.75" customHeight="1" x14ac:dyDescent="0.2">
      <c r="W1413" s="19"/>
      <c r="X1413" s="18" t="str">
        <f t="shared" si="21"/>
        <v/>
      </c>
      <c r="Y1413" s="19"/>
    </row>
    <row r="1414" spans="23:25" ht="12.75" customHeight="1" x14ac:dyDescent="0.2">
      <c r="W1414" s="19"/>
      <c r="X1414" s="18" t="str">
        <f t="shared" si="21"/>
        <v/>
      </c>
      <c r="Y1414" s="19"/>
    </row>
    <row r="1415" spans="23:25" ht="12.75" customHeight="1" x14ac:dyDescent="0.2">
      <c r="W1415" s="19"/>
      <c r="X1415" s="18" t="str">
        <f t="shared" si="21"/>
        <v/>
      </c>
      <c r="Y1415" s="19"/>
    </row>
    <row r="1416" spans="23:25" ht="12.75" customHeight="1" x14ac:dyDescent="0.2">
      <c r="W1416" s="19"/>
      <c r="X1416" s="18" t="str">
        <f t="shared" si="21"/>
        <v/>
      </c>
      <c r="Y1416" s="19"/>
    </row>
    <row r="1417" spans="23:25" ht="12.75" customHeight="1" x14ac:dyDescent="0.2">
      <c r="W1417" s="19"/>
      <c r="X1417" s="18" t="str">
        <f t="shared" si="21"/>
        <v/>
      </c>
      <c r="Y1417" s="19"/>
    </row>
    <row r="1418" spans="23:25" ht="12.75" customHeight="1" x14ac:dyDescent="0.2">
      <c r="W1418" s="19"/>
      <c r="X1418" s="18" t="str">
        <f t="shared" ref="X1418:X1481" si="22">IF(D1418="0001","3rd Party","")</f>
        <v/>
      </c>
      <c r="Y1418" s="19"/>
    </row>
    <row r="1419" spans="23:25" ht="12.75" customHeight="1" x14ac:dyDescent="0.2">
      <c r="W1419" s="19"/>
      <c r="X1419" s="18" t="str">
        <f t="shared" si="22"/>
        <v/>
      </c>
      <c r="Y1419" s="19"/>
    </row>
    <row r="1420" spans="23:25" ht="12.75" customHeight="1" x14ac:dyDescent="0.2">
      <c r="W1420" s="19"/>
      <c r="X1420" s="18" t="str">
        <f t="shared" si="22"/>
        <v/>
      </c>
      <c r="Y1420" s="19"/>
    </row>
    <row r="1421" spans="23:25" ht="12.75" customHeight="1" x14ac:dyDescent="0.2">
      <c r="W1421" s="19"/>
      <c r="X1421" s="18" t="str">
        <f t="shared" si="22"/>
        <v/>
      </c>
      <c r="Y1421" s="19"/>
    </row>
    <row r="1422" spans="23:25" ht="12.75" customHeight="1" x14ac:dyDescent="0.2">
      <c r="W1422" s="19"/>
      <c r="X1422" s="18" t="str">
        <f t="shared" si="22"/>
        <v/>
      </c>
      <c r="Y1422" s="19"/>
    </row>
    <row r="1423" spans="23:25" ht="12.75" customHeight="1" x14ac:dyDescent="0.2">
      <c r="W1423" s="19"/>
      <c r="X1423" s="18" t="str">
        <f t="shared" si="22"/>
        <v/>
      </c>
      <c r="Y1423" s="19"/>
    </row>
    <row r="1424" spans="23:25" ht="12.75" customHeight="1" x14ac:dyDescent="0.2">
      <c r="W1424" s="19"/>
      <c r="X1424" s="18" t="str">
        <f t="shared" si="22"/>
        <v/>
      </c>
      <c r="Y1424" s="19"/>
    </row>
    <row r="1425" spans="23:25" ht="12.75" customHeight="1" x14ac:dyDescent="0.2">
      <c r="W1425" s="19"/>
      <c r="X1425" s="18" t="str">
        <f t="shared" si="22"/>
        <v/>
      </c>
      <c r="Y1425" s="19"/>
    </row>
    <row r="1426" spans="23:25" ht="12.75" customHeight="1" x14ac:dyDescent="0.2">
      <c r="W1426" s="19"/>
      <c r="X1426" s="18" t="str">
        <f t="shared" si="22"/>
        <v/>
      </c>
      <c r="Y1426" s="19"/>
    </row>
    <row r="1427" spans="23:25" ht="12.75" customHeight="1" x14ac:dyDescent="0.2">
      <c r="W1427" s="19"/>
      <c r="X1427" s="18" t="str">
        <f t="shared" si="22"/>
        <v/>
      </c>
      <c r="Y1427" s="19"/>
    </row>
    <row r="1428" spans="23:25" ht="12.75" customHeight="1" x14ac:dyDescent="0.2">
      <c r="W1428" s="19"/>
      <c r="X1428" s="18" t="str">
        <f t="shared" si="22"/>
        <v/>
      </c>
      <c r="Y1428" s="19"/>
    </row>
    <row r="1429" spans="23:25" ht="12.75" customHeight="1" x14ac:dyDescent="0.2">
      <c r="W1429" s="19"/>
      <c r="X1429" s="18" t="str">
        <f t="shared" si="22"/>
        <v/>
      </c>
      <c r="Y1429" s="19"/>
    </row>
    <row r="1430" spans="23:25" ht="12.75" customHeight="1" x14ac:dyDescent="0.2">
      <c r="W1430" s="19"/>
      <c r="X1430" s="18" t="str">
        <f t="shared" si="22"/>
        <v/>
      </c>
      <c r="Y1430" s="19"/>
    </row>
    <row r="1431" spans="23:25" ht="12.75" customHeight="1" x14ac:dyDescent="0.2">
      <c r="W1431" s="19"/>
      <c r="X1431" s="18" t="str">
        <f t="shared" si="22"/>
        <v/>
      </c>
      <c r="Y1431" s="19"/>
    </row>
    <row r="1432" spans="23:25" ht="12.75" customHeight="1" x14ac:dyDescent="0.2">
      <c r="W1432" s="19"/>
      <c r="X1432" s="18" t="str">
        <f t="shared" si="22"/>
        <v/>
      </c>
      <c r="Y1432" s="19"/>
    </row>
    <row r="1433" spans="23:25" ht="12.75" customHeight="1" x14ac:dyDescent="0.2">
      <c r="W1433" s="19"/>
      <c r="X1433" s="18" t="str">
        <f t="shared" si="22"/>
        <v/>
      </c>
      <c r="Y1433" s="19"/>
    </row>
    <row r="1434" spans="23:25" ht="12.75" customHeight="1" x14ac:dyDescent="0.2">
      <c r="W1434" s="19"/>
      <c r="X1434" s="18" t="str">
        <f t="shared" si="22"/>
        <v/>
      </c>
      <c r="Y1434" s="19"/>
    </row>
    <row r="1435" spans="23:25" ht="12.75" customHeight="1" x14ac:dyDescent="0.2">
      <c r="W1435" s="19"/>
      <c r="X1435" s="18" t="str">
        <f t="shared" si="22"/>
        <v/>
      </c>
      <c r="Y1435" s="19"/>
    </row>
    <row r="1436" spans="23:25" ht="12.75" customHeight="1" x14ac:dyDescent="0.2">
      <c r="W1436" s="19"/>
      <c r="X1436" s="18" t="str">
        <f t="shared" si="22"/>
        <v/>
      </c>
      <c r="Y1436" s="19"/>
    </row>
    <row r="1437" spans="23:25" ht="12.75" customHeight="1" x14ac:dyDescent="0.2">
      <c r="W1437" s="19"/>
      <c r="X1437" s="18" t="str">
        <f t="shared" si="22"/>
        <v/>
      </c>
      <c r="Y1437" s="19"/>
    </row>
    <row r="1438" spans="23:25" ht="12.75" customHeight="1" x14ac:dyDescent="0.2">
      <c r="W1438" s="19"/>
      <c r="X1438" s="18" t="str">
        <f t="shared" si="22"/>
        <v/>
      </c>
      <c r="Y1438" s="19"/>
    </row>
    <row r="1439" spans="23:25" ht="12.75" customHeight="1" x14ac:dyDescent="0.2">
      <c r="W1439" s="19"/>
      <c r="X1439" s="18" t="str">
        <f t="shared" si="22"/>
        <v/>
      </c>
      <c r="Y1439" s="19"/>
    </row>
    <row r="1440" spans="23:25" ht="12.75" customHeight="1" x14ac:dyDescent="0.2">
      <c r="W1440" s="19"/>
      <c r="X1440" s="18" t="str">
        <f t="shared" si="22"/>
        <v/>
      </c>
      <c r="Y1440" s="19"/>
    </row>
    <row r="1441" spans="23:25" ht="12.75" customHeight="1" x14ac:dyDescent="0.2">
      <c r="W1441" s="19"/>
      <c r="X1441" s="18" t="str">
        <f t="shared" si="22"/>
        <v/>
      </c>
      <c r="Y1441" s="19"/>
    </row>
    <row r="1442" spans="23:25" ht="12.75" customHeight="1" x14ac:dyDescent="0.2">
      <c r="W1442" s="19"/>
      <c r="X1442" s="18" t="str">
        <f t="shared" si="22"/>
        <v/>
      </c>
      <c r="Y1442" s="19"/>
    </row>
    <row r="1443" spans="23:25" ht="12.75" customHeight="1" x14ac:dyDescent="0.2">
      <c r="W1443" s="19"/>
      <c r="X1443" s="18" t="str">
        <f t="shared" si="22"/>
        <v/>
      </c>
      <c r="Y1443" s="19"/>
    </row>
    <row r="1444" spans="23:25" ht="12.75" customHeight="1" x14ac:dyDescent="0.2">
      <c r="W1444" s="19"/>
      <c r="X1444" s="18" t="str">
        <f t="shared" si="22"/>
        <v/>
      </c>
      <c r="Y1444" s="19"/>
    </row>
    <row r="1445" spans="23:25" ht="12.75" customHeight="1" x14ac:dyDescent="0.2">
      <c r="W1445" s="19"/>
      <c r="X1445" s="18" t="str">
        <f t="shared" si="22"/>
        <v/>
      </c>
      <c r="Y1445" s="19"/>
    </row>
    <row r="1446" spans="23:25" ht="12.75" customHeight="1" x14ac:dyDescent="0.2">
      <c r="W1446" s="19"/>
      <c r="X1446" s="18" t="str">
        <f t="shared" si="22"/>
        <v/>
      </c>
      <c r="Y1446" s="19"/>
    </row>
    <row r="1447" spans="23:25" ht="12.75" customHeight="1" x14ac:dyDescent="0.2">
      <c r="W1447" s="19"/>
      <c r="X1447" s="18" t="str">
        <f t="shared" si="22"/>
        <v/>
      </c>
      <c r="Y1447" s="19"/>
    </row>
    <row r="1448" spans="23:25" ht="12.75" customHeight="1" x14ac:dyDescent="0.2">
      <c r="W1448" s="19"/>
      <c r="X1448" s="18" t="str">
        <f t="shared" si="22"/>
        <v/>
      </c>
      <c r="Y1448" s="19"/>
    </row>
    <row r="1449" spans="23:25" ht="12.75" customHeight="1" x14ac:dyDescent="0.2">
      <c r="W1449" s="19"/>
      <c r="X1449" s="18" t="str">
        <f t="shared" si="22"/>
        <v/>
      </c>
      <c r="Y1449" s="19"/>
    </row>
    <row r="1450" spans="23:25" ht="12.75" customHeight="1" x14ac:dyDescent="0.2">
      <c r="W1450" s="19"/>
      <c r="X1450" s="18" t="str">
        <f t="shared" si="22"/>
        <v/>
      </c>
      <c r="Y1450" s="19"/>
    </row>
    <row r="1451" spans="23:25" ht="12.75" customHeight="1" x14ac:dyDescent="0.2">
      <c r="W1451" s="19"/>
      <c r="X1451" s="18" t="str">
        <f t="shared" si="22"/>
        <v/>
      </c>
      <c r="Y1451" s="19"/>
    </row>
    <row r="1452" spans="23:25" ht="12.75" customHeight="1" x14ac:dyDescent="0.2">
      <c r="W1452" s="19"/>
      <c r="X1452" s="18" t="str">
        <f t="shared" si="22"/>
        <v/>
      </c>
      <c r="Y1452" s="19"/>
    </row>
    <row r="1453" spans="23:25" ht="12.75" customHeight="1" x14ac:dyDescent="0.2">
      <c r="W1453" s="19"/>
      <c r="X1453" s="18" t="str">
        <f t="shared" si="22"/>
        <v/>
      </c>
      <c r="Y1453" s="19"/>
    </row>
    <row r="1454" spans="23:25" ht="12.75" customHeight="1" x14ac:dyDescent="0.2">
      <c r="W1454" s="19"/>
      <c r="X1454" s="18" t="str">
        <f t="shared" si="22"/>
        <v/>
      </c>
      <c r="Y1454" s="19"/>
    </row>
    <row r="1455" spans="23:25" ht="12.75" customHeight="1" x14ac:dyDescent="0.2">
      <c r="W1455" s="19"/>
      <c r="X1455" s="18" t="str">
        <f t="shared" si="22"/>
        <v/>
      </c>
      <c r="Y1455" s="19"/>
    </row>
    <row r="1456" spans="23:25" ht="12.75" customHeight="1" x14ac:dyDescent="0.2">
      <c r="W1456" s="19"/>
      <c r="X1456" s="18" t="str">
        <f t="shared" si="22"/>
        <v/>
      </c>
      <c r="Y1456" s="19"/>
    </row>
    <row r="1457" spans="23:25" ht="12.75" customHeight="1" x14ac:dyDescent="0.2">
      <c r="W1457" s="19"/>
      <c r="X1457" s="18" t="str">
        <f t="shared" si="22"/>
        <v/>
      </c>
      <c r="Y1457" s="19"/>
    </row>
    <row r="1458" spans="23:25" ht="12.75" customHeight="1" x14ac:dyDescent="0.2">
      <c r="W1458" s="19"/>
      <c r="X1458" s="18" t="str">
        <f t="shared" si="22"/>
        <v/>
      </c>
      <c r="Y1458" s="19"/>
    </row>
    <row r="1459" spans="23:25" ht="12.75" customHeight="1" x14ac:dyDescent="0.2">
      <c r="W1459" s="19"/>
      <c r="X1459" s="18" t="str">
        <f t="shared" si="22"/>
        <v/>
      </c>
      <c r="Y1459" s="19"/>
    </row>
    <row r="1460" spans="23:25" ht="12.75" customHeight="1" x14ac:dyDescent="0.2">
      <c r="W1460" s="19"/>
      <c r="X1460" s="18" t="str">
        <f t="shared" si="22"/>
        <v/>
      </c>
      <c r="Y1460" s="19"/>
    </row>
    <row r="1461" spans="23:25" ht="12.75" customHeight="1" x14ac:dyDescent="0.2">
      <c r="W1461" s="19"/>
      <c r="X1461" s="18" t="str">
        <f t="shared" si="22"/>
        <v/>
      </c>
      <c r="Y1461" s="19"/>
    </row>
    <row r="1462" spans="23:25" ht="12.75" customHeight="1" x14ac:dyDescent="0.2">
      <c r="W1462" s="19"/>
      <c r="X1462" s="18" t="str">
        <f t="shared" si="22"/>
        <v/>
      </c>
      <c r="Y1462" s="19"/>
    </row>
    <row r="1463" spans="23:25" ht="12.75" customHeight="1" x14ac:dyDescent="0.2">
      <c r="W1463" s="19"/>
      <c r="X1463" s="18" t="str">
        <f t="shared" si="22"/>
        <v/>
      </c>
      <c r="Y1463" s="19"/>
    </row>
    <row r="1464" spans="23:25" ht="12.75" customHeight="1" x14ac:dyDescent="0.2">
      <c r="W1464" s="19"/>
      <c r="X1464" s="18" t="str">
        <f t="shared" si="22"/>
        <v/>
      </c>
      <c r="Y1464" s="19"/>
    </row>
    <row r="1465" spans="23:25" ht="12.75" customHeight="1" x14ac:dyDescent="0.2">
      <c r="W1465" s="19"/>
      <c r="X1465" s="18" t="str">
        <f t="shared" si="22"/>
        <v/>
      </c>
      <c r="Y1465" s="19"/>
    </row>
    <row r="1466" spans="23:25" ht="12.75" customHeight="1" x14ac:dyDescent="0.2">
      <c r="W1466" s="19"/>
      <c r="X1466" s="18" t="str">
        <f t="shared" si="22"/>
        <v/>
      </c>
      <c r="Y1466" s="19"/>
    </row>
    <row r="1467" spans="23:25" ht="12.75" customHeight="1" x14ac:dyDescent="0.2">
      <c r="W1467" s="19"/>
      <c r="X1467" s="18" t="str">
        <f t="shared" si="22"/>
        <v/>
      </c>
      <c r="Y1467" s="19"/>
    </row>
    <row r="1468" spans="23:25" ht="12.75" customHeight="1" x14ac:dyDescent="0.2">
      <c r="W1468" s="19"/>
      <c r="X1468" s="18" t="str">
        <f t="shared" si="22"/>
        <v/>
      </c>
      <c r="Y1468" s="19"/>
    </row>
    <row r="1469" spans="23:25" ht="12.75" customHeight="1" x14ac:dyDescent="0.2">
      <c r="W1469" s="19"/>
      <c r="X1469" s="18" t="str">
        <f t="shared" si="22"/>
        <v/>
      </c>
      <c r="Y1469" s="19"/>
    </row>
    <row r="1470" spans="23:25" ht="12.75" customHeight="1" x14ac:dyDescent="0.2">
      <c r="W1470" s="19"/>
      <c r="X1470" s="18" t="str">
        <f t="shared" si="22"/>
        <v/>
      </c>
      <c r="Y1470" s="19"/>
    </row>
    <row r="1471" spans="23:25" ht="12.75" customHeight="1" x14ac:dyDescent="0.2">
      <c r="W1471" s="19"/>
      <c r="X1471" s="18" t="str">
        <f t="shared" si="22"/>
        <v/>
      </c>
      <c r="Y1471" s="19"/>
    </row>
    <row r="1472" spans="23:25" ht="12.75" customHeight="1" x14ac:dyDescent="0.2">
      <c r="W1472" s="19"/>
      <c r="X1472" s="18" t="str">
        <f t="shared" si="22"/>
        <v/>
      </c>
      <c r="Y1472" s="19"/>
    </row>
    <row r="1473" spans="23:25" ht="12.75" customHeight="1" x14ac:dyDescent="0.2">
      <c r="W1473" s="19"/>
      <c r="X1473" s="18" t="str">
        <f t="shared" si="22"/>
        <v/>
      </c>
      <c r="Y1473" s="19"/>
    </row>
    <row r="1474" spans="23:25" ht="12.75" customHeight="1" x14ac:dyDescent="0.2">
      <c r="W1474" s="19"/>
      <c r="X1474" s="18" t="str">
        <f t="shared" si="22"/>
        <v/>
      </c>
      <c r="Y1474" s="19"/>
    </row>
    <row r="1475" spans="23:25" ht="12.75" customHeight="1" x14ac:dyDescent="0.2">
      <c r="W1475" s="19"/>
      <c r="X1475" s="18" t="str">
        <f t="shared" si="22"/>
        <v/>
      </c>
      <c r="Y1475" s="19"/>
    </row>
    <row r="1476" spans="23:25" ht="12.75" customHeight="1" x14ac:dyDescent="0.2">
      <c r="W1476" s="19"/>
      <c r="X1476" s="18" t="str">
        <f t="shared" si="22"/>
        <v/>
      </c>
      <c r="Y1476" s="19"/>
    </row>
    <row r="1477" spans="23:25" ht="12.75" customHeight="1" x14ac:dyDescent="0.2">
      <c r="W1477" s="19"/>
      <c r="X1477" s="18" t="str">
        <f t="shared" si="22"/>
        <v/>
      </c>
      <c r="Y1477" s="19"/>
    </row>
    <row r="1478" spans="23:25" ht="12.75" customHeight="1" x14ac:dyDescent="0.2">
      <c r="W1478" s="19"/>
      <c r="X1478" s="18" t="str">
        <f t="shared" si="22"/>
        <v/>
      </c>
      <c r="Y1478" s="19"/>
    </row>
    <row r="1479" spans="23:25" ht="12.75" customHeight="1" x14ac:dyDescent="0.2">
      <c r="W1479" s="19"/>
      <c r="X1479" s="18" t="str">
        <f t="shared" si="22"/>
        <v/>
      </c>
      <c r="Y1479" s="19"/>
    </row>
    <row r="1480" spans="23:25" ht="12.75" customHeight="1" x14ac:dyDescent="0.2">
      <c r="W1480" s="19"/>
      <c r="X1480" s="18" t="str">
        <f t="shared" si="22"/>
        <v/>
      </c>
      <c r="Y1480" s="19"/>
    </row>
    <row r="1481" spans="23:25" ht="12.75" customHeight="1" x14ac:dyDescent="0.2">
      <c r="W1481" s="19"/>
      <c r="X1481" s="18" t="str">
        <f t="shared" si="22"/>
        <v/>
      </c>
      <c r="Y1481" s="19"/>
    </row>
    <row r="1482" spans="23:25" ht="12.75" customHeight="1" x14ac:dyDescent="0.2">
      <c r="W1482" s="19"/>
      <c r="X1482" s="18" t="str">
        <f t="shared" ref="X1482:X1500" si="23">IF(D1482="0001","3rd Party","")</f>
        <v/>
      </c>
      <c r="Y1482" s="19"/>
    </row>
    <row r="1483" spans="23:25" ht="12.75" customHeight="1" x14ac:dyDescent="0.2">
      <c r="W1483" s="19"/>
      <c r="X1483" s="18" t="str">
        <f t="shared" si="23"/>
        <v/>
      </c>
      <c r="Y1483" s="19"/>
    </row>
    <row r="1484" spans="23:25" ht="12.75" customHeight="1" x14ac:dyDescent="0.2">
      <c r="W1484" s="19"/>
      <c r="X1484" s="18" t="str">
        <f t="shared" si="23"/>
        <v/>
      </c>
      <c r="Y1484" s="19"/>
    </row>
    <row r="1485" spans="23:25" ht="12.75" customHeight="1" x14ac:dyDescent="0.2">
      <c r="W1485" s="19"/>
      <c r="X1485" s="18" t="str">
        <f t="shared" si="23"/>
        <v/>
      </c>
      <c r="Y1485" s="19"/>
    </row>
    <row r="1486" spans="23:25" ht="12.75" customHeight="1" x14ac:dyDescent="0.2">
      <c r="W1486" s="19"/>
      <c r="X1486" s="18" t="str">
        <f t="shared" si="23"/>
        <v/>
      </c>
      <c r="Y1486" s="19"/>
    </row>
    <row r="1487" spans="23:25" ht="12.75" customHeight="1" x14ac:dyDescent="0.2">
      <c r="W1487" s="19"/>
      <c r="X1487" s="18" t="str">
        <f t="shared" si="23"/>
        <v/>
      </c>
      <c r="Y1487" s="19"/>
    </row>
    <row r="1488" spans="23:25" ht="12.75" customHeight="1" x14ac:dyDescent="0.2">
      <c r="W1488" s="19"/>
      <c r="X1488" s="18" t="str">
        <f t="shared" si="23"/>
        <v/>
      </c>
      <c r="Y1488" s="19"/>
    </row>
    <row r="1489" spans="23:25" ht="12.75" customHeight="1" x14ac:dyDescent="0.2">
      <c r="W1489" s="19"/>
      <c r="X1489" s="18" t="str">
        <f t="shared" si="23"/>
        <v/>
      </c>
      <c r="Y1489" s="19"/>
    </row>
    <row r="1490" spans="23:25" ht="12.75" customHeight="1" x14ac:dyDescent="0.2">
      <c r="W1490" s="19"/>
      <c r="X1490" s="18" t="str">
        <f t="shared" si="23"/>
        <v/>
      </c>
      <c r="Y1490" s="19"/>
    </row>
    <row r="1491" spans="23:25" ht="12.75" customHeight="1" x14ac:dyDescent="0.2">
      <c r="W1491" s="19"/>
      <c r="X1491" s="18" t="str">
        <f t="shared" si="23"/>
        <v/>
      </c>
      <c r="Y1491" s="19"/>
    </row>
    <row r="1492" spans="23:25" ht="12.75" customHeight="1" x14ac:dyDescent="0.2">
      <c r="W1492" s="19"/>
      <c r="X1492" s="18" t="str">
        <f t="shared" si="23"/>
        <v/>
      </c>
      <c r="Y1492" s="19"/>
    </row>
    <row r="1493" spans="23:25" ht="12.75" customHeight="1" x14ac:dyDescent="0.2">
      <c r="W1493" s="19"/>
      <c r="X1493" s="18" t="str">
        <f t="shared" si="23"/>
        <v/>
      </c>
      <c r="Y1493" s="19"/>
    </row>
    <row r="1494" spans="23:25" ht="12.75" customHeight="1" x14ac:dyDescent="0.2">
      <c r="W1494" s="19"/>
      <c r="X1494" s="18" t="str">
        <f t="shared" si="23"/>
        <v/>
      </c>
      <c r="Y1494" s="19"/>
    </row>
    <row r="1495" spans="23:25" ht="12.75" customHeight="1" x14ac:dyDescent="0.2">
      <c r="W1495" s="19"/>
      <c r="X1495" s="18" t="str">
        <f t="shared" si="23"/>
        <v/>
      </c>
      <c r="Y1495" s="19"/>
    </row>
    <row r="1496" spans="23:25" ht="12.75" customHeight="1" x14ac:dyDescent="0.2">
      <c r="W1496" s="19"/>
      <c r="X1496" s="18" t="str">
        <f t="shared" si="23"/>
        <v/>
      </c>
      <c r="Y1496" s="19"/>
    </row>
    <row r="1497" spans="23:25" ht="12.75" customHeight="1" x14ac:dyDescent="0.2">
      <c r="W1497" s="19"/>
      <c r="X1497" s="18" t="str">
        <f t="shared" si="23"/>
        <v/>
      </c>
      <c r="Y1497" s="19"/>
    </row>
    <row r="1498" spans="23:25" ht="12.75" customHeight="1" x14ac:dyDescent="0.2">
      <c r="W1498" s="19"/>
      <c r="X1498" s="18" t="str">
        <f t="shared" si="23"/>
        <v/>
      </c>
      <c r="Y1498" s="19"/>
    </row>
    <row r="1499" spans="23:25" ht="12.75" customHeight="1" x14ac:dyDescent="0.2">
      <c r="W1499" s="19"/>
      <c r="X1499" s="18" t="str">
        <f t="shared" si="23"/>
        <v/>
      </c>
      <c r="Y1499" s="19"/>
    </row>
    <row r="1500" spans="23:25" ht="12.75" customHeight="1" x14ac:dyDescent="0.2">
      <c r="W1500" s="19"/>
      <c r="X1500" s="18" t="str">
        <f t="shared" si="23"/>
        <v/>
      </c>
      <c r="Y1500" s="19"/>
    </row>
  </sheetData>
  <sortState ref="A9:S217">
    <sortCondition ref="D9:D217"/>
    <sortCondition ref="H9:H217"/>
    <sortCondition ref="J9:J217"/>
  </sortState>
  <mergeCells count="26">
    <mergeCell ref="B1:V1"/>
    <mergeCell ref="B2:V2"/>
    <mergeCell ref="A6:A8"/>
    <mergeCell ref="B6:B8"/>
    <mergeCell ref="C6:C8"/>
    <mergeCell ref="D6:D8"/>
    <mergeCell ref="F6:F8"/>
    <mergeCell ref="G6:G8"/>
    <mergeCell ref="H6:H8"/>
    <mergeCell ref="I6:I8"/>
    <mergeCell ref="J6:J8"/>
    <mergeCell ref="K6:K8"/>
    <mergeCell ref="S6:S8"/>
    <mergeCell ref="T6:T8"/>
    <mergeCell ref="U6:U8"/>
    <mergeCell ref="V6:V8"/>
    <mergeCell ref="A4:I4"/>
    <mergeCell ref="E6:E8"/>
    <mergeCell ref="J4:V4"/>
    <mergeCell ref="L6:L8"/>
    <mergeCell ref="M6:M8"/>
    <mergeCell ref="N6:N8"/>
    <mergeCell ref="O6:O8"/>
    <mergeCell ref="P6:P8"/>
    <mergeCell ref="Q6:Q8"/>
    <mergeCell ref="R6:R8"/>
  </mergeCells>
  <conditionalFormatting sqref="X9:X1500">
    <cfRule type="cellIs" dxfId="0" priority="1" operator="greaterThan">
      <formula>""</formula>
    </cfRule>
  </conditionalFormatting>
  <pageMargins left="0.23194444444444445" right="0.22500000000000001" top="0.25" bottom="0.25" header="0" footer="0"/>
  <pageSetup fitToWidth="0" fitToHeight="0" orientation="landscape" r:id="rId1"/>
  <headerFooter alignWithMargins="0"/>
  <rowBreaks count="5" manualBreakCount="5">
    <brk id="43" min="1" max="256" man="1"/>
    <brk id="72" min="1" max="256" man="1"/>
    <brk id="110" min="1" max="256" man="1"/>
    <brk id="141" min="1" max="256" man="1"/>
    <brk id="156" min="1" max="256" man="1"/>
  </rowBreaks>
  <ignoredErrors>
    <ignoredError sqref="K9:K282 D9:E282" numberStoredAsText="1"/>
    <ignoredError sqref="M9:M282 G9:G282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0"/>
  <sheetViews>
    <sheetView zoomScale="140" zoomScaleNormal="140" workbookViewId="0"/>
  </sheetViews>
  <sheetFormatPr defaultColWidth="0" defaultRowHeight="12.75" zeroHeight="1" x14ac:dyDescent="0.2"/>
  <cols>
    <col min="1" max="1" width="9.140625" customWidth="1"/>
    <col min="2" max="2" width="7" bestFit="1" customWidth="1"/>
    <col min="3" max="3" width="15" bestFit="1" customWidth="1"/>
    <col min="4" max="4" width="4.28515625" bestFit="1" customWidth="1"/>
    <col min="5" max="7" width="9.140625" customWidth="1"/>
    <col min="8" max="8" width="13.28515625" bestFit="1" customWidth="1"/>
    <col min="9" max="9" width="6.28515625" bestFit="1" customWidth="1"/>
    <col min="10" max="10" width="9.140625" customWidth="1"/>
    <col min="11" max="16384" width="9.140625" hidden="1"/>
  </cols>
  <sheetData>
    <row r="1" spans="2:9" ht="13.5" thickBot="1" x14ac:dyDescent="0.25"/>
    <row r="2" spans="2:9" ht="13.5" thickBot="1" x14ac:dyDescent="0.25">
      <c r="B2" s="36" t="s">
        <v>34</v>
      </c>
      <c r="C2" s="34"/>
      <c r="D2" s="35"/>
      <c r="G2" s="30" t="s">
        <v>39</v>
      </c>
      <c r="H2" s="31"/>
      <c r="I2" s="32"/>
    </row>
    <row r="3" spans="2:9" ht="13.5" thickBot="1" x14ac:dyDescent="0.25">
      <c r="B3" s="9" t="s">
        <v>32</v>
      </c>
      <c r="C3" s="6">
        <f>SUMIFS('Source Report'!$J:$J,'Source Report'!$H:$H,'Output Dashboard'!$B$2,'Source Report'!$J:$J,"&lt;0",'Source Report'!X:X,"&lt;&gt;3rd Party")</f>
        <v>-454595</v>
      </c>
      <c r="D3" s="5">
        <f>COUNTIFS('Source Report'!H:H,'Output Dashboard'!$B$2,'Source Report'!J:J,"&lt;0",'Source Report'!X:X,"&lt;&gt;3rd Party")</f>
        <v>21</v>
      </c>
      <c r="G3" s="9" t="s">
        <v>40</v>
      </c>
      <c r="H3" s="6">
        <f>SUM('Source Report'!J:J)</f>
        <v>-153522</v>
      </c>
      <c r="I3" s="13">
        <f>COUNTA('Source Report'!J9:J5000)</f>
        <v>274</v>
      </c>
    </row>
    <row r="4" spans="2:9" ht="13.5" thickBot="1" x14ac:dyDescent="0.25">
      <c r="B4" s="4" t="s">
        <v>33</v>
      </c>
      <c r="C4" s="6">
        <f>SUMIFS('Source Report'!J:J,'Source Report'!H:H,'Output Dashboard'!$B$2,'Source Report'!J:J,"&gt;0",'Source Report'!X:X,"&lt;&gt;3rd Party")</f>
        <v>588342</v>
      </c>
      <c r="D4" s="5">
        <f>COUNTIFS('Source Report'!H:H,'Output Dashboard'!$B$2,'Source Report'!J:J,"&gt;0",'Source Report'!X:X,"&lt;&gt;3rd Party")</f>
        <v>21</v>
      </c>
      <c r="E4" s="16"/>
      <c r="G4" s="9" t="s">
        <v>41</v>
      </c>
      <c r="H4" s="6">
        <f>SUM(C3:C4,C7:C8,C11:C12,C15:C16,C26:C27)</f>
        <v>-153522</v>
      </c>
      <c r="I4" s="13">
        <f>SUM(D3:D4,D7:D8,D11:D12,D15:D16,D26:D27)</f>
        <v>274</v>
      </c>
    </row>
    <row r="5" spans="2:9" ht="13.5" thickBot="1" x14ac:dyDescent="0.25">
      <c r="G5" s="10" t="s">
        <v>42</v>
      </c>
      <c r="H5" s="11">
        <f>H3-H4</f>
        <v>0</v>
      </c>
      <c r="I5" s="12">
        <f>I3-I4</f>
        <v>0</v>
      </c>
    </row>
    <row r="6" spans="2:9" ht="13.5" thickBot="1" x14ac:dyDescent="0.25">
      <c r="B6" s="36" t="s">
        <v>37</v>
      </c>
      <c r="C6" s="34"/>
      <c r="D6" s="35"/>
      <c r="H6" t="b">
        <f>H3=H4</f>
        <v>1</v>
      </c>
      <c r="I6" t="b">
        <f t="shared" ref="I6" si="0">I3=I4</f>
        <v>1</v>
      </c>
    </row>
    <row r="7" spans="2:9" ht="13.5" thickBot="1" x14ac:dyDescent="0.25">
      <c r="B7" s="3" t="s">
        <v>32</v>
      </c>
      <c r="C7" s="6">
        <f>SUMIFS('Source Report'!J:J,'Source Report'!H:H,'Output Dashboard'!$B$6,'Source Report'!J:J,"&lt;0",'Source Report'!X:X,"&lt;&gt;3rd Party")</f>
        <v>-30273</v>
      </c>
      <c r="D7" s="5">
        <f>COUNTIFS('Source Report'!H:H,'Output Dashboard'!$B$6,'Source Report'!J:J,"&lt;0",'Source Report'!X:X,"&lt;&gt;3rd Party")</f>
        <v>1</v>
      </c>
    </row>
    <row r="8" spans="2:9" ht="13.5" thickBot="1" x14ac:dyDescent="0.25">
      <c r="B8" s="4" t="s">
        <v>33</v>
      </c>
      <c r="C8" s="6">
        <f>SUMIFS('Source Report'!J:J,'Source Report'!H:H,'Output Dashboard'!$B$6,'Source Report'!J:J,"&gt;0",'Source Report'!X:X,"&lt;&gt;3rd Party")</f>
        <v>42198</v>
      </c>
      <c r="D8" s="5">
        <f>COUNTIFS('Source Report'!H:H,'Output Dashboard'!$B$6,'Source Report'!J:J,"&gt;0",'Source Report'!X:X,"&lt;&gt;3rd Party")</f>
        <v>2</v>
      </c>
      <c r="H8" s="15"/>
    </row>
    <row r="9" spans="2:9" ht="13.5" thickBot="1" x14ac:dyDescent="0.25">
      <c r="B9" s="4"/>
      <c r="C9" s="7"/>
      <c r="D9" s="8"/>
    </row>
    <row r="10" spans="2:9" ht="13.5" thickBot="1" x14ac:dyDescent="0.25">
      <c r="B10" s="36" t="s">
        <v>26</v>
      </c>
      <c r="C10" s="34"/>
      <c r="D10" s="35"/>
    </row>
    <row r="11" spans="2:9" ht="13.5" thickBot="1" x14ac:dyDescent="0.25">
      <c r="B11" s="3" t="s">
        <v>32</v>
      </c>
      <c r="C11" s="6">
        <f>SUMIFS('Source Report'!J:J,'Source Report'!H:H,'Output Dashboard'!$B$10,'Source Report'!J:J,"&lt;0",'Source Report'!X:X,"&lt;&gt;3rd Party")</f>
        <v>-1043775</v>
      </c>
      <c r="D11" s="5">
        <f>COUNTIFS('Source Report'!H:H,'Output Dashboard'!$B$10,'Source Report'!J:J,"&lt;0",'Source Report'!X:X,"&lt;&gt;3rd Party")</f>
        <v>40</v>
      </c>
    </row>
    <row r="12" spans="2:9" ht="13.5" thickBot="1" x14ac:dyDescent="0.25">
      <c r="B12" s="4" t="s">
        <v>33</v>
      </c>
      <c r="C12" s="6">
        <f>SUMIFS('Source Report'!J:J,'Source Report'!H:H,'Output Dashboard'!$B$10,'Source Report'!J:J,"&gt;0",'Source Report'!X:X,"&lt;&gt;3rd Party")</f>
        <v>1063626</v>
      </c>
      <c r="D12" s="5">
        <f>COUNTIFS('Source Report'!H:H,'Output Dashboard'!$B$10,'Source Report'!J:J,"&gt;0",'Source Report'!X:X,"&lt;&gt;3rd Party")</f>
        <v>35</v>
      </c>
    </row>
    <row r="13" spans="2:9" ht="13.5" thickBot="1" x14ac:dyDescent="0.25"/>
    <row r="14" spans="2:9" ht="13.5" thickBot="1" x14ac:dyDescent="0.25">
      <c r="B14" s="36" t="s">
        <v>35</v>
      </c>
      <c r="C14" s="34"/>
      <c r="D14" s="35"/>
    </row>
    <row r="15" spans="2:9" ht="13.5" thickBot="1" x14ac:dyDescent="0.25">
      <c r="B15" s="3" t="s">
        <v>32</v>
      </c>
      <c r="C15" s="6">
        <f>SUMIFS('Source Report'!J:J,'Source Report'!H:H,'Output Dashboard'!$B$14,'Source Report'!J:J,"&lt;0",'Source Report'!X:X,"&lt;&gt;3rd Party")</f>
        <v>-1851056</v>
      </c>
      <c r="D15" s="5">
        <f>COUNTIFS('Source Report'!H:H,'Output Dashboard'!$B$14,'Source Report'!J:J,"&lt;0",'Source Report'!X:X,"&lt;&gt;3rd Party")</f>
        <v>73</v>
      </c>
    </row>
    <row r="16" spans="2:9" ht="13.5" thickBot="1" x14ac:dyDescent="0.25">
      <c r="B16" s="4" t="s">
        <v>33</v>
      </c>
      <c r="C16" s="6">
        <f>SUMIFS('Source Report'!J:J,'Source Report'!H:H,'Output Dashboard'!$B$14,'Source Report'!J:J,"&gt;0",'Source Report'!X:X,"&lt;&gt;3rd Party")</f>
        <v>1491400</v>
      </c>
      <c r="D16" s="5">
        <f>COUNTIFS('Source Report'!H:H,'Output Dashboard'!$B$14,'Source Report'!J:J,"&gt;0",'Source Report'!X:X,"&lt;&gt;3rd Party")</f>
        <v>62</v>
      </c>
    </row>
    <row r="17" spans="2:4" ht="13.5" thickBot="1" x14ac:dyDescent="0.25"/>
    <row r="18" spans="2:4" ht="13.5" thickBot="1" x14ac:dyDescent="0.25">
      <c r="B18" s="36" t="s">
        <v>36</v>
      </c>
      <c r="C18" s="34"/>
      <c r="D18" s="35"/>
    </row>
    <row r="19" spans="2:4" ht="13.5" thickBot="1" x14ac:dyDescent="0.25">
      <c r="B19" s="3" t="s">
        <v>32</v>
      </c>
      <c r="C19" s="6">
        <f>C15+C11</f>
        <v>-2894831</v>
      </c>
      <c r="D19" s="5">
        <f>D15+D11</f>
        <v>113</v>
      </c>
    </row>
    <row r="20" spans="2:4" ht="13.5" thickBot="1" x14ac:dyDescent="0.25">
      <c r="B20" s="4" t="s">
        <v>33</v>
      </c>
      <c r="C20" s="6">
        <f>C16+C12</f>
        <v>2555026</v>
      </c>
      <c r="D20" s="5">
        <f>D16+D12</f>
        <v>97</v>
      </c>
    </row>
    <row r="21" spans="2:4" ht="13.5" thickBot="1" x14ac:dyDescent="0.25"/>
    <row r="22" spans="2:4" ht="13.5" thickBot="1" x14ac:dyDescent="0.25">
      <c r="B22" s="36" t="s">
        <v>38</v>
      </c>
      <c r="C22" s="34"/>
      <c r="D22" s="35"/>
    </row>
    <row r="23" spans="2:4" ht="13.5" thickBot="1" x14ac:dyDescent="0.25">
      <c r="B23" s="4" t="s">
        <v>33</v>
      </c>
      <c r="C23" s="6">
        <f>C20+C8+C4</f>
        <v>3185566</v>
      </c>
      <c r="D23" s="5">
        <f>D20+D8+D4</f>
        <v>120</v>
      </c>
    </row>
    <row r="24" spans="2:4" ht="13.5" thickBot="1" x14ac:dyDescent="0.25"/>
    <row r="25" spans="2:4" ht="13.5" thickBot="1" x14ac:dyDescent="0.25">
      <c r="B25" s="33" t="s">
        <v>25</v>
      </c>
      <c r="C25" s="34"/>
      <c r="D25" s="35"/>
    </row>
    <row r="26" spans="2:4" ht="13.5" thickBot="1" x14ac:dyDescent="0.25">
      <c r="B26" s="3" t="s">
        <v>32</v>
      </c>
      <c r="C26" s="6">
        <f>SUMIFS('Source Report'!J:J,'Source Report'!D:D,'Output Dashboard'!$B$25,'Source Report'!J:J,"&lt;0")</f>
        <v>-268131</v>
      </c>
      <c r="D26" s="5">
        <f>COUNTIFS('Source Report'!D:D,'Output Dashboard'!$B$25,'Source Report'!J:J,"&lt;0")</f>
        <v>9</v>
      </c>
    </row>
    <row r="27" spans="2:4" ht="13.5" thickBot="1" x14ac:dyDescent="0.25">
      <c r="B27" s="4" t="s">
        <v>33</v>
      </c>
      <c r="C27" s="6">
        <f>SUMIFS('Source Report'!J:J,'Source Report'!D:D,'Output Dashboard'!$B$25,'Source Report'!J:J,"&gt;0")</f>
        <v>308742</v>
      </c>
      <c r="D27" s="5">
        <f>COUNTIFS('Source Report'!D:D,'Output Dashboard'!$B$25,'Source Report'!J:J,"&gt;0")</f>
        <v>10</v>
      </c>
    </row>
    <row r="28" spans="2:4" x14ac:dyDescent="0.2"/>
    <row r="29" spans="2:4" hidden="1" x14ac:dyDescent="0.2"/>
    <row r="30" spans="2:4" hidden="1" x14ac:dyDescent="0.2"/>
  </sheetData>
  <mergeCells count="8">
    <mergeCell ref="G2:I2"/>
    <mergeCell ref="B25:D25"/>
    <mergeCell ref="B6:D6"/>
    <mergeCell ref="B22:D22"/>
    <mergeCell ref="B18:D18"/>
    <mergeCell ref="B2:D2"/>
    <mergeCell ref="B10:D10"/>
    <mergeCell ref="B14:D14"/>
  </mergeCells>
  <pageMargins left="0.7" right="0.7" top="0.75" bottom="0.75" header="0.3" footer="0.3"/>
  <ignoredErrors>
    <ignoredError sqref="B2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B6EE-CC5E-46BE-B70C-A044212A5E0A}">
  <sheetPr codeName="Sheet3"/>
  <dimension ref="A1"/>
  <sheetViews>
    <sheetView workbookViewId="0"/>
  </sheetViews>
  <sheetFormatPr defaultRowHeight="12.75" x14ac:dyDescent="0.2"/>
  <sheetData>
    <row r="1" spans="1:1" ht="409.6" x14ac:dyDescent="0.2">
      <c r="A1" s="37" t="s">
        <v>775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Report</vt:lpstr>
      <vt:lpstr>Output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HL0101Sx</dc:title>
  <dc:creator>Crystal Decisions</dc:creator>
  <dc:description>Powered by Crystal</dc:description>
  <cp:lastModifiedBy>Gaming - Wop</cp:lastModifiedBy>
  <dcterms:created xsi:type="dcterms:W3CDTF">2021-10-18T12:57:19Z</dcterms:created>
  <dcterms:modified xsi:type="dcterms:W3CDTF">2021-11-06T05:01:24Z</dcterms:modified>
</cp:coreProperties>
</file>